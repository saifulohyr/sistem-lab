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Rekap Barang" sheetId="1" r:id="rId4"/>
    <sheet state="visible" name="MAINTENANCE AND REPAIR" sheetId="2" r:id="rId5"/>
    <sheet state="visible" name="BARANG MASUK" sheetId="3" r:id="rId6"/>
    <sheet state="visible" name="BARANG KELUAR" sheetId="4" r:id="rId7"/>
    <sheet state="visible" name="LAB RPL 1" sheetId="5" r:id="rId8"/>
    <sheet state="visible" name="LAB RPL 2" sheetId="6" r:id="rId9"/>
    <sheet state="visible" name="LAB RPL 3" sheetId="7" r:id="rId10"/>
    <sheet state="visible" name="LAB RPL 4" sheetId="8" r:id="rId11"/>
  </sheets>
  <definedNames/>
  <calcPr/>
  <extLst>
    <ext uri="GoogleSheetsCustomDataVersion2">
      <go:sheetsCustomData xmlns:go="http://customooxmlschemas.google.com/" r:id="rId12" roundtripDataChecksum="lYMyxveNvxsuA2xyziHYssSyoivYJ74l3sCu6SE9i04="/>
    </ext>
  </extLst>
</workbook>
</file>

<file path=xl/sharedStrings.xml><?xml version="1.0" encoding="utf-8"?>
<sst xmlns="http://schemas.openxmlformats.org/spreadsheetml/2006/main" count="1124" uniqueCount="319">
  <si>
    <t>LAPORAN STOK BARANG MASUK LAB RPL</t>
  </si>
  <si>
    <t>SMK MUHAMMADIYAH MAJENANG</t>
  </si>
  <si>
    <t>Periode :</t>
  </si>
  <si>
    <t>NO</t>
  </si>
  <si>
    <t>NAMA PC</t>
  </si>
  <si>
    <t>LOKASI</t>
  </si>
  <si>
    <t>PERAWATAN</t>
  </si>
  <si>
    <t>PERBAIKIAN</t>
  </si>
  <si>
    <t>TANGGAL</t>
  </si>
  <si>
    <t>TTD</t>
  </si>
  <si>
    <t>PC31</t>
  </si>
  <si>
    <t>LAB1</t>
  </si>
  <si>
    <t>INSTAL ULANG</t>
  </si>
  <si>
    <t>CADANGAN</t>
  </si>
  <si>
    <t>PSU</t>
  </si>
  <si>
    <t>LAPORAN STOK BARANG LAB RPL</t>
  </si>
  <si>
    <t>LAPORAN STOK BARANG KELUAR LAB RPL</t>
  </si>
  <si>
    <t>Kode Barang</t>
  </si>
  <si>
    <t>Tanggal</t>
  </si>
  <si>
    <t>Nama Barang</t>
  </si>
  <si>
    <t>Stok Awal</t>
  </si>
  <si>
    <t>Barang Masuk</t>
  </si>
  <si>
    <t>Barang Keluar</t>
  </si>
  <si>
    <t>Jumlah Barang Masuk</t>
  </si>
  <si>
    <t>Stok Akhir</t>
  </si>
  <si>
    <t>Jumlah Barang Keluar</t>
  </si>
  <si>
    <t>spesifikasi</t>
  </si>
  <si>
    <t xml:space="preserve">KETERANGAN </t>
  </si>
  <si>
    <t>Keterangan</t>
  </si>
  <si>
    <t>RPL-001</t>
  </si>
  <si>
    <t>13/08/2025</t>
  </si>
  <si>
    <t>13 Agustus 2025</t>
  </si>
  <si>
    <t>Monitor</t>
  </si>
  <si>
    <t>MSI PRO225V 21.45"</t>
  </si>
  <si>
    <t>RPL-002</t>
  </si>
  <si>
    <t>Brizzz M09 dan M18 
1. RAM 8GB
2. SSD PM9C1a Samsung 256GB
3. Processor Intel ® Core™ i5-4460 CPU @ 3.20GHz
4. OS Windows 10 Pro</t>
  </si>
  <si>
    <t>Rusak 1</t>
  </si>
  <si>
    <t>Flashdisk 5 yang di pake</t>
  </si>
  <si>
    <t>RPL-003</t>
  </si>
  <si>
    <t>CPU</t>
  </si>
  <si>
    <t>Logitech M120</t>
  </si>
  <si>
    <t>RPL-004</t>
  </si>
  <si>
    <t>19/08/2025</t>
  </si>
  <si>
    <t>19 Agustus 2025</t>
  </si>
  <si>
    <t>RPL-011</t>
  </si>
  <si>
    <t>MOUSE</t>
  </si>
  <si>
    <t>TU</t>
  </si>
  <si>
    <t>RPL-012</t>
  </si>
  <si>
    <t>20 Agustus 2025</t>
  </si>
  <si>
    <t>KEYBOARD</t>
  </si>
  <si>
    <t xml:space="preserve">TU </t>
  </si>
  <si>
    <t>RPL-005</t>
  </si>
  <si>
    <t>08 September 0205</t>
  </si>
  <si>
    <t>CIMOS</t>
  </si>
  <si>
    <t>RPL-013</t>
  </si>
  <si>
    <t>27/02/2026</t>
  </si>
  <si>
    <t>RPL-017</t>
  </si>
  <si>
    <t xml:space="preserve">Praktek </t>
  </si>
  <si>
    <t>305meter</t>
  </si>
  <si>
    <t>RPL-018</t>
  </si>
  <si>
    <t>RPL-006</t>
  </si>
  <si>
    <t>POWER SUPLAY</t>
  </si>
  <si>
    <t xml:space="preserve">                               27/2/2026</t>
  </si>
  <si>
    <t>RPL-010</t>
  </si>
  <si>
    <t>RPL-007</t>
  </si>
  <si>
    <t>SSD</t>
  </si>
  <si>
    <t xml:space="preserve">                         27/2/2026</t>
  </si>
  <si>
    <t>LAB</t>
  </si>
  <si>
    <t>RPL-019</t>
  </si>
  <si>
    <t>RPL-014</t>
  </si>
  <si>
    <t>RPL-008</t>
  </si>
  <si>
    <t>HDD</t>
  </si>
  <si>
    <t>26/04/2026</t>
  </si>
  <si>
    <t>RPL-020</t>
  </si>
  <si>
    <t>KABEL LAN</t>
  </si>
  <si>
    <t>15M</t>
  </si>
  <si>
    <t>RUANG GURU BARU</t>
  </si>
  <si>
    <t>RPL-021</t>
  </si>
  <si>
    <t>RJ45</t>
  </si>
  <si>
    <t>50PCS</t>
  </si>
  <si>
    <t>RPL-009</t>
  </si>
  <si>
    <t>FLASHDISK</t>
  </si>
  <si>
    <t>RPL-024</t>
  </si>
  <si>
    <t>ROUTER</t>
  </si>
  <si>
    <t>HUB</t>
  </si>
  <si>
    <t>RPL-022</t>
  </si>
  <si>
    <t>LAPORAN LAB RPL 2</t>
  </si>
  <si>
    <t>RAM</t>
  </si>
  <si>
    <t>RPL-023</t>
  </si>
  <si>
    <t>BENGKEL TKR</t>
  </si>
  <si>
    <t>NAMA KOMPUTER</t>
  </si>
  <si>
    <t>SISTEM OPERASI</t>
  </si>
  <si>
    <t>5M</t>
  </si>
  <si>
    <t>MOTHERBOARD</t>
  </si>
  <si>
    <t>PROSESOR</t>
  </si>
  <si>
    <t>BIOS</t>
  </si>
  <si>
    <t>BIOS MODE</t>
  </si>
  <si>
    <t>10PCS</t>
  </si>
  <si>
    <t>KABEL VGA</t>
  </si>
  <si>
    <t>STORAGE</t>
  </si>
  <si>
    <t>BULAN</t>
  </si>
  <si>
    <t>KONDISI</t>
  </si>
  <si>
    <t>PC001</t>
  </si>
  <si>
    <t>Microsoft Windows 10 Pro</t>
  </si>
  <si>
    <t>8 GB</t>
  </si>
  <si>
    <t>H81</t>
  </si>
  <si>
    <t>Intel(R) Core(TM) i5-4590S CPU @ 3.00GHz, 3001 Mhz, 4 Core(s), 4 Logical Processor(s)</t>
  </si>
  <si>
    <t>American Megatrends 4.6.5 (07/01/2025)</t>
  </si>
  <si>
    <t xml:space="preserve">Flashdisk </t>
  </si>
  <si>
    <t>UEFI</t>
  </si>
  <si>
    <t xml:space="preserve">KABEL POWER
PRINTER </t>
  </si>
  <si>
    <t>238 GB</t>
  </si>
  <si>
    <t>Lab</t>
  </si>
  <si>
    <t>BAIK</t>
  </si>
  <si>
    <t>server lab</t>
  </si>
  <si>
    <t>PC002</t>
  </si>
  <si>
    <t>200m</t>
  </si>
  <si>
    <t>Intel(R) Core(TM) i5-4460  CPU @ 3.20GHz, 3201 Mhz, 4 Core(s), 4 Logical Processor(s)</t>
  </si>
  <si>
    <t>booth spmb</t>
  </si>
  <si>
    <t>American Megatrends Inc. 4.6.5, 07/01/2025</t>
  </si>
  <si>
    <t>1 (520)</t>
  </si>
  <si>
    <t>di ganti 450 komputer admin 2</t>
  </si>
  <si>
    <t>PC003</t>
  </si>
  <si>
    <t>4 GB</t>
  </si>
  <si>
    <t>1(256GB)</t>
  </si>
  <si>
    <t>H61</t>
  </si>
  <si>
    <t>tuker radio 128GB</t>
  </si>
  <si>
    <t>Intel(R) Core(TM) i3-2100 CPU @ 3.10GHz, 3100 Mhz, 2 Core(s), 4 Logical Processor(s)</t>
  </si>
  <si>
    <t>American Megatrends Inc. 4.6.5, 26/07/2021</t>
  </si>
  <si>
    <t xml:space="preserve">MOUSE </t>
  </si>
  <si>
    <t>BK</t>
  </si>
  <si>
    <t>30 Juli 2026</t>
  </si>
  <si>
    <t>PC004</t>
  </si>
  <si>
    <t>RAM  8 GB DDR4</t>
  </si>
  <si>
    <t>RPL-015</t>
  </si>
  <si>
    <t>11 Agustus 2026</t>
  </si>
  <si>
    <t>PROYEKTOR</t>
  </si>
  <si>
    <t xml:space="preserve">RAM </t>
  </si>
  <si>
    <t>DDR 3 RAM 8GB</t>
  </si>
  <si>
    <t>PC005</t>
  </si>
  <si>
    <t>SSD 256 GB</t>
  </si>
  <si>
    <t>21 Agustus 2026</t>
  </si>
  <si>
    <t>RPL-016</t>
  </si>
  <si>
    <t>PRINTER</t>
  </si>
  <si>
    <t>148 GB</t>
  </si>
  <si>
    <t>BK WIFI</t>
  </si>
  <si>
    <t>PC006</t>
  </si>
  <si>
    <t>27 Agustus 2026</t>
  </si>
  <si>
    <t>rj45</t>
  </si>
  <si>
    <t>6 Item</t>
  </si>
  <si>
    <t>Creamping</t>
  </si>
  <si>
    <t>STIKER KAWAT</t>
  </si>
  <si>
    <t>DDR 3 8GB</t>
  </si>
  <si>
    <t>28 Agustus 2026</t>
  </si>
  <si>
    <t>PC007</t>
  </si>
  <si>
    <t>PC dan Monitor</t>
  </si>
  <si>
    <t>8GB</t>
  </si>
  <si>
    <t>1 set pc dan monitor untuk rps tkr</t>
  </si>
  <si>
    <t>BATERAI AKALIN</t>
  </si>
  <si>
    <t>237 GB</t>
  </si>
  <si>
    <t>PC008</t>
  </si>
  <si>
    <t>TINTA PRINTER</t>
  </si>
  <si>
    <t>PC009</t>
  </si>
  <si>
    <t>American Megatrends Inc. 4.6.5, 19/09/2022</t>
  </si>
  <si>
    <t>THERMAL</t>
  </si>
  <si>
    <t>118 GB</t>
  </si>
  <si>
    <t>PC010</t>
  </si>
  <si>
    <t>TOOL JARINGAN</t>
  </si>
  <si>
    <t>110GB</t>
  </si>
  <si>
    <t>PC011</t>
  </si>
  <si>
    <t>Intel(R) Core(TM) i5-4590 CPU @ 3.30GHz, 3301 Mhz, 4 Core(s), 4 Logical Processor(s)</t>
  </si>
  <si>
    <t>TOOL KIT</t>
  </si>
  <si>
    <t xml:space="preserve"> 238GB</t>
  </si>
  <si>
    <t>PC012</t>
  </si>
  <si>
    <t>PC013</t>
  </si>
  <si>
    <t>LAPORAN LAB RPL 1</t>
  </si>
  <si>
    <t>PC014</t>
  </si>
  <si>
    <t>American Megatrends Inc. 4.6.5, 1/7/2025</t>
  </si>
  <si>
    <t>LABRPL2_PC1</t>
  </si>
  <si>
    <t>PC015</t>
  </si>
  <si>
    <t xml:space="preserve">Intel(R) Core(TM) i3-2100 CPU @ 3.10GHz, 3100 Mhz, 2 Core(s), 4 Logical Processor(s)
</t>
  </si>
  <si>
    <t>American Megatrends Inc. 4.6.5, (26/07/2021)</t>
  </si>
  <si>
    <t>149GB</t>
  </si>
  <si>
    <t>PC016</t>
  </si>
  <si>
    <t>LABRPL2_PC2</t>
  </si>
  <si>
    <t>140 GB</t>
  </si>
  <si>
    <t>119 GB</t>
  </si>
  <si>
    <t>PC017</t>
  </si>
  <si>
    <t>LABRPL2_PC3</t>
  </si>
  <si>
    <t>PC018</t>
  </si>
  <si>
    <t>LABRPL2_PC4</t>
  </si>
  <si>
    <t>PC019</t>
  </si>
  <si>
    <t>LABRPL2_PC5</t>
  </si>
  <si>
    <t>H 81</t>
  </si>
  <si>
    <t>PC020</t>
  </si>
  <si>
    <t>LAPORAN LAB RPL 4</t>
  </si>
  <si>
    <t>LABRPL2_PC6</t>
  </si>
  <si>
    <t>A320M-HDV R4.0</t>
  </si>
  <si>
    <t>`AMD Athlon 200GE with Radeon Vega Graphics, 3200, 2 Core(s), 4 Logical Prosessor(s)</t>
  </si>
  <si>
    <t>256 GB</t>
  </si>
  <si>
    <t>228 GB</t>
  </si>
  <si>
    <t>PC021</t>
  </si>
  <si>
    <t>LABRPL2_PC7</t>
  </si>
  <si>
    <t>LABKOM4-PC1</t>
  </si>
  <si>
    <t>118GB</t>
  </si>
  <si>
    <t>Microsoft Windows 11 Pro</t>
  </si>
  <si>
    <t>Intel Core i5-4590 CPU @ 3.30GHz</t>
  </si>
  <si>
    <t>American Megatrends Inc. 4.6.5</t>
  </si>
  <si>
    <t>PC022</t>
  </si>
  <si>
    <t>256GB</t>
  </si>
  <si>
    <t>LABRPL2_PC8</t>
  </si>
  <si>
    <t>LABKOM4-PC2</t>
  </si>
  <si>
    <t>Intel(R) Core(TM) i3-2120 CPU @ 3.30GHz, 3300 Mhz, 2 Core(s), 4 Logical Processor(s)</t>
  </si>
  <si>
    <t>PC023</t>
  </si>
  <si>
    <t>LABRPL2_PC9</t>
  </si>
  <si>
    <t>American Megatrends Inc. 4.6.5, 9/19/2022</t>
  </si>
  <si>
    <t xml:space="preserve">256GB </t>
  </si>
  <si>
    <t>LABKOM4-PC3</t>
  </si>
  <si>
    <t>PC024</t>
  </si>
  <si>
    <t xml:space="preserve">American Megatrends Inc. 4.6.5 </t>
  </si>
  <si>
    <t>LABRPL2_PC10</t>
  </si>
  <si>
    <t>140GB</t>
  </si>
  <si>
    <t>LABKOM4-PC4</t>
  </si>
  <si>
    <t>PC025</t>
  </si>
  <si>
    <t>LABRPL2_PC11</t>
  </si>
  <si>
    <t>American Megatrends Inc. versi 4.6.5 (19/09/2022)</t>
  </si>
  <si>
    <t>LABKOM4-PC5</t>
  </si>
  <si>
    <t>PC026</t>
  </si>
  <si>
    <t>LABRPL2_PC12</t>
  </si>
  <si>
    <t>128 GB</t>
  </si>
  <si>
    <t>LABKOM4-PC6</t>
  </si>
  <si>
    <t>PC027</t>
  </si>
  <si>
    <t>LABRPL2_PC13</t>
  </si>
  <si>
    <t>American Megatrends Inc. v4.6.5 (19/09/2022)</t>
  </si>
  <si>
    <t>LABKOM4-PC7</t>
  </si>
  <si>
    <t>PC028</t>
  </si>
  <si>
    <t>LABRPL2_PC14</t>
  </si>
  <si>
    <t>American Megatrends Inc. 4.6.5, 17/08/2022</t>
  </si>
  <si>
    <t>LABKOM4-PC8</t>
  </si>
  <si>
    <t>PC029</t>
  </si>
  <si>
    <t>LABRPL2_PC15</t>
  </si>
  <si>
    <t>LABKOM4-PC9</t>
  </si>
  <si>
    <t>PC030</t>
  </si>
  <si>
    <t>LABRPL2_PC16</t>
  </si>
  <si>
    <t xml:space="preserve"> 8 GB</t>
  </si>
  <si>
    <t xml:space="preserve"> 119 GB</t>
  </si>
  <si>
    <t>LABKOM4-PC10</t>
  </si>
  <si>
    <t>LABRPL2_PC17</t>
  </si>
  <si>
    <t>PC031</t>
  </si>
  <si>
    <t xml:space="preserve">119 GB </t>
  </si>
  <si>
    <t>LABKOM4-PC11</t>
  </si>
  <si>
    <t>LABRPL2_PC18</t>
  </si>
  <si>
    <t>PC032</t>
  </si>
  <si>
    <t>American Megatrends</t>
  </si>
  <si>
    <t>LABKOM4-PC12</t>
  </si>
  <si>
    <t>LABRPL2_PC19</t>
  </si>
  <si>
    <t>LABKOM4-PC13</t>
  </si>
  <si>
    <t>LABRPL2_PC20</t>
  </si>
  <si>
    <t>LABKOM4-PC14</t>
  </si>
  <si>
    <t>LABRPL2_PC21</t>
  </si>
  <si>
    <t>LABRPL2_PC22</t>
  </si>
  <si>
    <t>LABKOM4-PC15</t>
  </si>
  <si>
    <t>Microsoft windows 11 Pro</t>
  </si>
  <si>
    <t>HB1</t>
  </si>
  <si>
    <t>LABRPL2_PC23</t>
  </si>
  <si>
    <t>LABKOM4-PC16</t>
  </si>
  <si>
    <t>LABRPL2_PC24</t>
  </si>
  <si>
    <t>Desktop-MokpMA/admin rpl</t>
  </si>
  <si>
    <t>American Megatrends  inc 4.6.5 (17/08/2022)</t>
  </si>
  <si>
    <t>LABRPL2_PC25</t>
  </si>
  <si>
    <t>Baik (Monitor : Kurang Baik)</t>
  </si>
  <si>
    <t>LABKOM4-PC25\labmuma</t>
  </si>
  <si>
    <t>American Megatrends Inc. 4.6.5, 26/07/2022</t>
  </si>
  <si>
    <t>LEGACY</t>
  </si>
  <si>
    <t>119GB</t>
  </si>
  <si>
    <t>LABRPL2_PC26</t>
  </si>
  <si>
    <t>BAIK ( Monitor : Kurang Baik)</t>
  </si>
  <si>
    <t>LABKOM4-PC19\user</t>
  </si>
  <si>
    <t>American Megatrends Inc. 4.6.5, 30/12/2020</t>
  </si>
  <si>
    <t>LABRPL2_PC27</t>
  </si>
  <si>
    <t>LABKOM4-PC18\user</t>
  </si>
  <si>
    <t>A320M-HDV R4.1</t>
  </si>
  <si>
    <t>AMD Athlon 200GE with Radeon Vega Graphics, 3200 Mhz, 2 Core(s), 4 Logical Processor(s)</t>
  </si>
  <si>
    <t>American Megatrends Inc. P3.30, 31/07/2019</t>
  </si>
  <si>
    <t>224 GB</t>
  </si>
  <si>
    <t>BAIK (Monitor : Kurang Baik)</t>
  </si>
  <si>
    <t>LABRPL2_PC28</t>
  </si>
  <si>
    <t>LABKOM4-PC21\user</t>
  </si>
  <si>
    <t xml:space="preserve">4 GB </t>
  </si>
  <si>
    <t>240 GB</t>
  </si>
  <si>
    <t>LABRPL2_PC29</t>
  </si>
  <si>
    <t>LABKOM4-PC22\user</t>
  </si>
  <si>
    <t>LABRPL2_PC30</t>
  </si>
  <si>
    <t>LABKOM4-PC23\user</t>
  </si>
  <si>
    <t xml:space="preserve">UEFI </t>
  </si>
  <si>
    <t>LABRPL2_PC31</t>
  </si>
  <si>
    <t>BAIK(Monitor : Kurang Baik)</t>
  </si>
  <si>
    <t>LABKOM4-PC24\user</t>
  </si>
  <si>
    <t>Intel(R) Core(TM) i5-4460CPU @ 3.30GHz, 3301 Mhz, 4 Core(s), 4 Logical Processor(s)</t>
  </si>
  <si>
    <t>LABRPL2_PC32</t>
  </si>
  <si>
    <t>ASROCK</t>
  </si>
  <si>
    <t>DESKTOP-94VNQKg\labkom</t>
  </si>
  <si>
    <t>LORD 64x 775 ICH7 8A2</t>
  </si>
  <si>
    <t>Intel(R)  Core(TM) 2 Duo CPU E8400 @ 300GHz 2.99GHz</t>
  </si>
  <si>
    <t>American Megatrends inc. G4177L00 (4/30/2016)</t>
  </si>
  <si>
    <t>Legacy</t>
  </si>
  <si>
    <t>298 GB</t>
  </si>
  <si>
    <t>DESKTOP-5GLCOCO</t>
  </si>
  <si>
    <t>B75</t>
  </si>
  <si>
    <t>LABKOM4-PC17\user</t>
  </si>
  <si>
    <t>PCKOM4-PC26</t>
  </si>
  <si>
    <t>lABKOM4-PC30</t>
  </si>
  <si>
    <t>Intel(R) CORE(TM) i5-2500 CPU @ 3.30GHz, 3301 Mhz, 4 Core(s) Logical Processor(s)</t>
  </si>
  <si>
    <t>466 GB</t>
  </si>
  <si>
    <t>Baik (No Mouse)</t>
  </si>
  <si>
    <t>DESKTOP-EUAM</t>
  </si>
  <si>
    <t>2 GB</t>
  </si>
  <si>
    <t>Intel(R) Core(TM) 2 DUO CPU E7500 @ 2.93 GHz 2936MHz, 2 Core</t>
  </si>
  <si>
    <t>Baik (Mouse,Keyboard : Rusak)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</si>
</sst>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mm/dd/yyyy"/>
    <numFmt numFmtId="166" formatCode="dd mmmm yyyy"/>
    <numFmt numFmtId="167" formatCode="d mmmm yyyy"/>
    <numFmt numFmtId="168" formatCode="d mmmm"/>
    <numFmt numFmtId="169" formatCode="M/d/yyyy H:mm:ss"/>
  </numFmts>
  <fonts count="8">
    <font>
      <sz val="11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i/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Times New Roman"/>
    </font>
    <font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2" fontId="1" numFmtId="0" xfId="0" applyAlignment="1" applyFill="1" applyFont="1">
      <alignment horizontal="center" readingOrder="0" vertical="center"/>
    </xf>
    <xf borderId="1" fillId="0" fontId="2" numFmtId="164" xfId="0" applyBorder="1" applyFont="1" applyNumberFormat="1"/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1" fillId="0" fontId="5" numFmtId="167" xfId="0" applyAlignment="1" applyBorder="1" applyFont="1" applyNumberFormat="1">
      <alignment horizontal="center" readingOrder="0" shrinkToFit="0" vertical="center" wrapText="0"/>
    </xf>
    <xf borderId="1" fillId="0" fontId="5" numFmtId="168" xfId="0" applyAlignment="1" applyBorder="1" applyFont="1" applyNumberForma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7" xfId="0" applyAlignment="1" applyBorder="1" applyFont="1" applyNumberFormat="1">
      <alignment horizontal="center" readingOrder="0" shrinkToFit="0" vertical="center" wrapText="0"/>
    </xf>
    <xf borderId="1" fillId="0" fontId="7" numFmtId="16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6" numFmtId="49" xfId="0" applyAlignment="1" applyBorder="1" applyFont="1" applyNumberFormat="1">
      <alignment horizontal="center" readingOrder="0" shrinkToFit="0" vertical="center" wrapText="0"/>
    </xf>
    <xf borderId="1" fillId="0" fontId="6" numFmtId="16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169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9" xfId="0" applyAlignment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4C7C3"/>
          <bgColor rgb="FFF4C7C3"/>
        </patternFill>
      </fill>
      <border/>
    </dxf>
  </dxfs>
  <tableStyles count="6">
    <tableStyle count="4" pivot="0" name="BARANG MAS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ANG KELU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ftar Rekap Bara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B RPL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B RPL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B RPL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31" displayName="Periode" name="Periode" id="3">
  <tableColumns count="6">
    <tableColumn name="Kode Barang" id="1"/>
    <tableColumn name="Nama Barang" id="2"/>
    <tableColumn name="Stok Awal" id="3"/>
    <tableColumn name="Barang Masuk" id="4"/>
    <tableColumn name="Barang Keluar" id="5"/>
    <tableColumn name="Stok Akhir" id="6"/>
  </tableColumns>
  <tableStyleInfo name="Daftar Rekap Barang-style" showColumnStripes="0" showFirstColumn="1" showLastColumn="1" showRowStripes="1"/>
</table>
</file>

<file path=xl/tables/table2.xml><?xml version="1.0" encoding="utf-8"?>
<table xmlns="http://schemas.openxmlformats.org/spreadsheetml/2006/main" ref="B7:F44" displayName="Barang_Masuk" name="Barang_Masuk" id="2">
  <tableColumns count="5">
    <tableColumn name="Tanggal" id="1"/>
    <tableColumn name="Kode Barang" id="2"/>
    <tableColumn name="Nama Barang" id="3"/>
    <tableColumn name="Jumlah Barang Masuk" id="4"/>
    <tableColumn name="spesifikasi" id="5"/>
  </tableColumns>
  <tableStyleInfo name="BARANG MASUK-style" showColumnStripes="0" showFirstColumn="1" showLastColumn="1" showRowStripes="1"/>
</table>
</file>

<file path=xl/tables/table3.xml><?xml version="1.0" encoding="utf-8"?>
<table xmlns="http://schemas.openxmlformats.org/spreadsheetml/2006/main" ref="B7:F57" displayName="Tabel2" name="Tabel2" id="1">
  <tableColumns count="5">
    <tableColumn name="Tanggal" id="1"/>
    <tableColumn name="Kode Barang" id="2"/>
    <tableColumn name="Nama Barang" id="3"/>
    <tableColumn name="Jumlah Barang Keluar" id="4"/>
    <tableColumn name="Keterangan" id="5"/>
  </tableColumns>
  <tableStyleInfo name="BARANG KELUAR-style" showColumnStripes="0" showFirstColumn="1" showLastColumn="1" showRowStripes="1"/>
</table>
</file>

<file path=xl/tables/table4.xml><?xml version="1.0" encoding="utf-8"?>
<table xmlns="http://schemas.openxmlformats.org/spreadsheetml/2006/main" ref="B7:L39" displayName="LAB_2" name="LAB_2" id="4">
  <tableColumns count="11">
    <tableColumn name="NO" id="1"/>
    <tableColumn name="NAMA KOMPUTER" id="2"/>
    <tableColumn name="SISTEM OPERASI" id="3"/>
    <tableColumn name="RAM" id="4"/>
    <tableColumn name="MOTHERBOARD" id="5"/>
    <tableColumn name="PROSESOR" id="6"/>
    <tableColumn name="BIOS" id="7"/>
    <tableColumn name="BIOS MODE" id="8"/>
    <tableColumn name="STORAGE" id="9"/>
    <tableColumn name="BULAN" id="10"/>
    <tableColumn name="KONDISI" id="11"/>
  </tableColumns>
  <tableStyleInfo name="LAB RPL 1-style" showColumnStripes="0" showFirstColumn="1" showLastColumn="1" showRowStripes="1"/>
</table>
</file>

<file path=xl/tables/table5.xml><?xml version="1.0" encoding="utf-8"?>
<table xmlns="http://schemas.openxmlformats.org/spreadsheetml/2006/main" ref="B7:L95" displayName="LAB_1" name="LAB_1" id="5">
  <tableColumns count="11">
    <tableColumn name="NO" id="1"/>
    <tableColumn name="NAMA KOMPUTER" id="2"/>
    <tableColumn name="SISTEM OPERASI" id="3"/>
    <tableColumn name="RAM" id="4"/>
    <tableColumn name="MOTHERBOARD" id="5"/>
    <tableColumn name="PROSESOR" id="6"/>
    <tableColumn name="BIOS" id="7"/>
    <tableColumn name="BIOS MODE" id="8"/>
    <tableColumn name="STORAGE" id="9"/>
    <tableColumn name="BULAN" id="10"/>
    <tableColumn name="KONDISI" id="11"/>
  </tableColumns>
  <tableStyleInfo name="LAB RPL 2-style" showColumnStripes="0" showFirstColumn="1" showLastColumn="1" showRowStripes="1"/>
</table>
</file>

<file path=xl/tables/table6.xml><?xml version="1.0" encoding="utf-8"?>
<table xmlns="http://schemas.openxmlformats.org/spreadsheetml/2006/main" ref="B7:L39" displayName="LAB_2_2" name="LAB_2_2" id="6">
  <tableColumns count="11">
    <tableColumn name="NO" id="1"/>
    <tableColumn name="NAMA KOMPUTER" id="2"/>
    <tableColumn name="SISTEM OPERASI" id="3"/>
    <tableColumn name="RAM" id="4"/>
    <tableColumn name="MOTHERBOARD" id="5"/>
    <tableColumn name="PROSESOR" id="6"/>
    <tableColumn name="BIOS" id="7"/>
    <tableColumn name="BIOS MODE" id="8"/>
    <tableColumn name="STORAGE" id="9"/>
    <tableColumn name="BULAN" id="10"/>
    <tableColumn name="KONDISI" id="11"/>
  </tableColumns>
  <tableStyleInfo name="LAB RPL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5.13"/>
    <col customWidth="1" min="3" max="3" width="15.75"/>
    <col customWidth="1" min="4" max="4" width="16.38"/>
    <col customWidth="1" min="5" max="5" width="19.63"/>
    <col customWidth="1" min="6" max="6" width="19.38"/>
    <col customWidth="1" min="7" max="7" width="16.63"/>
    <col customWidth="1" min="8" max="26" width="14.38"/>
  </cols>
  <sheetData>
    <row r="2">
      <c r="B2" s="1" t="s">
        <v>15</v>
      </c>
    </row>
    <row r="3">
      <c r="B3" s="1" t="s">
        <v>1</v>
      </c>
    </row>
    <row r="5">
      <c r="B5" s="10" t="s">
        <v>2</v>
      </c>
      <c r="C5" s="10"/>
    </row>
    <row r="6">
      <c r="B6" s="11"/>
      <c r="C6" s="11"/>
      <c r="D6" s="11"/>
      <c r="E6" s="11"/>
      <c r="F6" s="11"/>
      <c r="G6" s="11"/>
    </row>
    <row r="7" ht="22.5" customHeight="1">
      <c r="B7" s="15" t="s">
        <v>17</v>
      </c>
      <c r="C7" s="15" t="s">
        <v>19</v>
      </c>
      <c r="D7" s="15" t="s">
        <v>20</v>
      </c>
      <c r="E7" s="15" t="s">
        <v>21</v>
      </c>
      <c r="F7" s="15" t="s">
        <v>22</v>
      </c>
      <c r="G7" s="15" t="s">
        <v>24</v>
      </c>
      <c r="I7" s="17" t="s">
        <v>27</v>
      </c>
      <c r="J7" s="17"/>
      <c r="K7" s="17"/>
    </row>
    <row r="8" ht="22.5" customHeight="1">
      <c r="B8" s="20" t="s">
        <v>29</v>
      </c>
      <c r="C8" s="20" t="s">
        <v>32</v>
      </c>
      <c r="D8" s="23">
        <v>65.0</v>
      </c>
      <c r="E8" s="24">
        <f>SUMIF('BARANG MASUK'!$D$8:$D$29,'Daftar Rekap Barang'!C8,'BARANG MASUK'!$E$8:$E$44)</f>
        <v>12</v>
      </c>
      <c r="F8" s="24">
        <f>sumif('BARANG KELUAR'!$D$8:$D$29,C8,'BARANG KELUAR'!$E$8:$E$49)</f>
        <v>12</v>
      </c>
      <c r="G8" s="24">
        <f t="shared" ref="G8:G31" si="1">D8+E8-F8</f>
        <v>65</v>
      </c>
      <c r="I8" s="2" t="s">
        <v>37</v>
      </c>
    </row>
    <row r="9" ht="22.5" customHeight="1">
      <c r="B9" s="20" t="s">
        <v>34</v>
      </c>
      <c r="C9" s="20" t="s">
        <v>39</v>
      </c>
      <c r="D9" s="23">
        <v>65.0</v>
      </c>
      <c r="E9" s="24">
        <f>SUMIF('BARANG MASUK'!$D$8:$D$29,'Daftar Rekap Barang'!C9,'BARANG MASUK'!$E$8:$E$44)</f>
        <v>12</v>
      </c>
      <c r="F9" s="24">
        <f>sumif('BARANG KELUAR'!$D$8:$D$29,C9,'BARANG KELUAR'!$E$8:$E$49)</f>
        <v>12</v>
      </c>
      <c r="G9" s="24">
        <f t="shared" si="1"/>
        <v>65</v>
      </c>
    </row>
    <row r="10" ht="22.5" customHeight="1">
      <c r="B10" s="20" t="s">
        <v>38</v>
      </c>
      <c r="C10" s="20" t="s">
        <v>45</v>
      </c>
      <c r="D10" s="23">
        <v>65.0</v>
      </c>
      <c r="E10" s="24">
        <f>SUMIF('BARANG MASUK'!$D$8:$D$29,'Daftar Rekap Barang'!C10,'BARANG MASUK'!$E$8:$E$44)</f>
        <v>12</v>
      </c>
      <c r="F10" s="24">
        <f>sumif('BARANG KELUAR'!$D$8:$D$29,C10,'BARANG KELUAR'!$E$8:$E$49)</f>
        <v>9</v>
      </c>
      <c r="G10" s="24">
        <f t="shared" si="1"/>
        <v>68</v>
      </c>
    </row>
    <row r="11" ht="22.5" customHeight="1">
      <c r="B11" s="20" t="s">
        <v>41</v>
      </c>
      <c r="C11" s="20" t="s">
        <v>49</v>
      </c>
      <c r="D11" s="23">
        <v>65.0</v>
      </c>
      <c r="E11" s="24">
        <f>SUMIF('BARANG MASUK'!$D$8:$D$29,'Daftar Rekap Barang'!C11,'BARANG MASUK'!$E$8:$E$44)</f>
        <v>12</v>
      </c>
      <c r="F11" s="24">
        <f>sumif('BARANG KELUAR'!$D$8:$D$29,C11,'BARANG KELUAR'!$E$8:$E$49)</f>
        <v>7</v>
      </c>
      <c r="G11" s="24">
        <f t="shared" si="1"/>
        <v>70</v>
      </c>
    </row>
    <row r="12" ht="22.5" customHeight="1">
      <c r="B12" s="20" t="s">
        <v>51</v>
      </c>
      <c r="C12" s="20" t="s">
        <v>53</v>
      </c>
      <c r="D12" s="23">
        <v>2.0</v>
      </c>
      <c r="E12" s="24">
        <f>SUMIF('BARANG MASUK'!$D$8:$D$29,'Daftar Rekap Barang'!C12,'BARANG MASUK'!$E$8:$E$44)</f>
        <v>2</v>
      </c>
      <c r="F12" s="24">
        <f>sumif('BARANG KELUAR'!$D$8:$D$29,C12,'BARANG KELUAR'!$E$8:$E$49)</f>
        <v>2</v>
      </c>
      <c r="G12" s="24">
        <f t="shared" si="1"/>
        <v>2</v>
      </c>
    </row>
    <row r="13" ht="22.5" customHeight="1">
      <c r="B13" s="20" t="s">
        <v>60</v>
      </c>
      <c r="C13" s="20" t="s">
        <v>61</v>
      </c>
      <c r="D13" s="24">
        <v>4.0</v>
      </c>
      <c r="E13" s="24">
        <f>SUMIF('BARANG MASUK'!$D$8:$D$29,'Daftar Rekap Barang'!C13,'BARANG MASUK'!$E$8:$E$44)</f>
        <v>5</v>
      </c>
      <c r="F13" s="24">
        <f>sumif('BARANG KELUAR'!$D$8:$D$29,C13,'BARANG KELUAR'!$E$8:$E$49)</f>
        <v>4</v>
      </c>
      <c r="G13" s="24">
        <f t="shared" si="1"/>
        <v>5</v>
      </c>
    </row>
    <row r="14" ht="22.5" customHeight="1">
      <c r="B14" s="20" t="s">
        <v>64</v>
      </c>
      <c r="C14" s="20" t="s">
        <v>65</v>
      </c>
      <c r="D14" s="23">
        <v>4.0</v>
      </c>
      <c r="E14" s="24">
        <f>SUMIF('BARANG MASUK'!$D$8:$D$29,'Daftar Rekap Barang'!C14,'BARANG MASUK'!$E$8:$E$44)</f>
        <v>7</v>
      </c>
      <c r="F14" s="24">
        <f>sumif('BARANG KELUAR'!$D$8:$D$29,C14,'BARANG KELUAR'!$E$8:$E$49)</f>
        <v>0</v>
      </c>
      <c r="G14" s="24">
        <f t="shared" si="1"/>
        <v>11</v>
      </c>
    </row>
    <row r="15" ht="22.5" customHeight="1">
      <c r="B15" s="20" t="s">
        <v>70</v>
      </c>
      <c r="C15" s="20" t="s">
        <v>71</v>
      </c>
      <c r="D15" s="23">
        <v>2.0</v>
      </c>
      <c r="E15" s="24">
        <f>SUMIF('BARANG MASUK'!$D$8:$D$29,'Daftar Rekap Barang'!C15,'BARANG MASUK'!$E$8:$E$44)</f>
        <v>0</v>
      </c>
      <c r="F15" s="24">
        <f>sumif('BARANG KELUAR'!$D$8:$D$29,C15,'BARANG KELUAR'!$E$8:$E$49)</f>
        <v>0</v>
      </c>
      <c r="G15" s="24">
        <f t="shared" si="1"/>
        <v>2</v>
      </c>
    </row>
    <row r="16" ht="22.5" customHeight="1">
      <c r="B16" s="20" t="s">
        <v>80</v>
      </c>
      <c r="C16" s="20" t="s">
        <v>81</v>
      </c>
      <c r="D16" s="24">
        <v>1.0</v>
      </c>
      <c r="E16" s="24">
        <f>SUMIF('BARANG MASUK'!$D$8:$D$29,'Daftar Rekap Barang'!C16,'BARANG MASUK'!$E$8:$E$44)</f>
        <v>0</v>
      </c>
      <c r="F16" s="24">
        <f>sumif('BARANG KELUAR'!$D$8:$D$29,C16,'BARANG KELUAR'!$E$8:$E$49)</f>
        <v>0</v>
      </c>
      <c r="G16" s="24">
        <f t="shared" si="1"/>
        <v>1</v>
      </c>
    </row>
    <row r="17" ht="22.5" customHeight="1">
      <c r="B17" s="33" t="s">
        <v>63</v>
      </c>
      <c r="C17" s="20" t="s">
        <v>87</v>
      </c>
      <c r="D17" s="24">
        <v>11.0</v>
      </c>
      <c r="E17" s="24">
        <f>SUMIF('BARANG MASUK'!$D$8:$D$29,'Daftar Rekap Barang'!C17,'BARANG MASUK'!$E$8:$E$44)</f>
        <v>17</v>
      </c>
      <c r="F17" s="24">
        <f>sumif('BARANG KELUAR'!$D$8:$D$29,C17,'BARANG KELUAR'!$E$8:$E$49)</f>
        <v>0</v>
      </c>
      <c r="G17" s="24">
        <f t="shared" si="1"/>
        <v>28</v>
      </c>
    </row>
    <row r="18" ht="22.5" customHeight="1">
      <c r="B18" s="20" t="s">
        <v>44</v>
      </c>
      <c r="C18" s="33" t="s">
        <v>98</v>
      </c>
      <c r="D18" s="23">
        <v>0.0</v>
      </c>
      <c r="E18" s="24">
        <f>SUMIF('BARANG MASUK'!$D$8:$D$29,'Daftar Rekap Barang'!C18,'BARANG MASUK'!$E$8:$E$44)</f>
        <v>10</v>
      </c>
      <c r="F18" s="24">
        <f>sumif('BARANG KELUAR'!$D$8:$D$29,C18,'BARANG KELUAR'!$E$8:$E$49)</f>
        <v>4</v>
      </c>
      <c r="G18" s="24">
        <f t="shared" si="1"/>
        <v>6</v>
      </c>
    </row>
    <row r="19" ht="22.5" customHeight="1">
      <c r="B19" s="20" t="s">
        <v>47</v>
      </c>
      <c r="C19" s="33" t="s">
        <v>110</v>
      </c>
      <c r="D19" s="23">
        <v>0.0</v>
      </c>
      <c r="E19" s="24">
        <f>SUMIF('BARANG MASUK'!$D$8:$D$29,'Daftar Rekap Barang'!C19,'BARANG MASUK'!$E$8:$E$44)</f>
        <v>2</v>
      </c>
      <c r="F19" s="24">
        <f>sumif('BARANG KELUAR'!$D$8:$D$29,C19,'BARANG KELUAR'!$E$8:$E$49)</f>
        <v>1</v>
      </c>
      <c r="G19" s="24">
        <f t="shared" si="1"/>
        <v>1</v>
      </c>
    </row>
    <row r="20" ht="22.5" customHeight="1">
      <c r="B20" s="20" t="s">
        <v>54</v>
      </c>
      <c r="C20" s="33" t="s">
        <v>78</v>
      </c>
      <c r="D20" s="23">
        <v>4.0</v>
      </c>
      <c r="E20" s="24">
        <f>SUMIF('BARANG MASUK'!$D$8:$D$29,'Daftar Rekap Barang'!C20,'BARANG MASUK'!$E$8:$E$44)</f>
        <v>10</v>
      </c>
      <c r="F20" s="24">
        <f>sumif('BARANG KELUAR'!$D$8:$D$29,C20,'BARANG KELUAR'!$E$8:$E$49)</f>
        <v>1</v>
      </c>
      <c r="G20" s="24">
        <f t="shared" si="1"/>
        <v>13</v>
      </c>
    </row>
    <row r="21" ht="22.5" customHeight="1">
      <c r="B21" s="20" t="s">
        <v>69</v>
      </c>
      <c r="C21" s="33" t="s">
        <v>84</v>
      </c>
      <c r="D21" s="23">
        <v>8.0</v>
      </c>
      <c r="E21" s="24">
        <f>SUMIF('BARANG MASUK'!$D$8:$D$29,'Daftar Rekap Barang'!C21,'BARANG MASUK'!$E$8:$E$44)</f>
        <v>0</v>
      </c>
      <c r="F21" s="24">
        <f>sumif('BARANG KELUAR'!$D$8:$D$29,C21,'BARANG KELUAR'!$E$8:$E$49)</f>
        <v>5</v>
      </c>
      <c r="G21" s="24">
        <f t="shared" si="1"/>
        <v>3</v>
      </c>
    </row>
    <row r="22" ht="15.75" customHeight="1">
      <c r="B22" s="44" t="s">
        <v>134</v>
      </c>
      <c r="C22" s="44" t="s">
        <v>136</v>
      </c>
      <c r="D22" s="45">
        <v>2.0</v>
      </c>
      <c r="E22" s="24">
        <f>SUMIF('BARANG MASUK'!$D$8:$D$29,'Daftar Rekap Barang'!C22,'BARANG MASUK'!$E$8:$E$44)</f>
        <v>0</v>
      </c>
      <c r="F22" s="24">
        <f>sumif('BARANG KELUAR'!$D$8:$D$29,C22,'BARANG KELUAR'!$E$8:$E$49)</f>
        <v>0</v>
      </c>
      <c r="G22" s="24">
        <f t="shared" si="1"/>
        <v>2</v>
      </c>
    </row>
    <row r="23" ht="15.75" customHeight="1">
      <c r="B23" s="44" t="s">
        <v>142</v>
      </c>
      <c r="C23" s="44" t="s">
        <v>143</v>
      </c>
      <c r="D23" s="45">
        <v>2.0</v>
      </c>
      <c r="E23" s="24">
        <f>SUMIF('BARANG MASUK'!$D$8:$D$29,'Daftar Rekap Barang'!C23,'BARANG MASUK'!$E$8:$E$44)</f>
        <v>0</v>
      </c>
      <c r="F23" s="24">
        <f>sumif('BARANG KELUAR'!$D$8:$D$29,C23,'BARANG KELUAR'!$E$8:$E$49)</f>
        <v>0</v>
      </c>
      <c r="G23" s="24">
        <f t="shared" si="1"/>
        <v>2</v>
      </c>
    </row>
    <row r="24" ht="15.75" customHeight="1">
      <c r="B24" s="44" t="s">
        <v>56</v>
      </c>
      <c r="C24" s="44" t="s">
        <v>74</v>
      </c>
      <c r="D24" s="45">
        <v>0.0</v>
      </c>
      <c r="E24" s="24">
        <f>SUMIF('BARANG MASUK'!$D$8:$D$29,'Daftar Rekap Barang'!C24,'BARANG MASUK'!$E$8:$E$44)</f>
        <v>1</v>
      </c>
      <c r="F24" s="24">
        <f>sumif('BARANG KELUAR'!$D$8:$D$29,C24,'BARANG KELUAR'!$E$8:$E$49)</f>
        <v>0</v>
      </c>
      <c r="G24" s="24">
        <f t="shared" si="1"/>
        <v>1</v>
      </c>
    </row>
    <row r="25" ht="15.75" customHeight="1">
      <c r="B25" s="44" t="s">
        <v>59</v>
      </c>
      <c r="C25" s="44" t="s">
        <v>151</v>
      </c>
      <c r="D25" s="45">
        <v>0.0</v>
      </c>
      <c r="E25" s="24">
        <f>SUMIF('BARANG MASUK'!$D$8:$D$29,'Daftar Rekap Barang'!C25,'BARANG MASUK'!$E$8:$E$44)</f>
        <v>2</v>
      </c>
      <c r="F25" s="24">
        <f>sumif('BARANG KELUAR'!$D$8:$D$29,C25,'BARANG KELUAR'!$E$8:$E$49)</f>
        <v>0</v>
      </c>
      <c r="G25" s="24">
        <f t="shared" si="1"/>
        <v>2</v>
      </c>
    </row>
    <row r="26" ht="15.75" customHeight="1">
      <c r="B26" s="44" t="s">
        <v>68</v>
      </c>
      <c r="C26" s="44" t="s">
        <v>158</v>
      </c>
      <c r="D26" s="45">
        <v>0.0</v>
      </c>
      <c r="E26" s="24">
        <f>SUMIF('BARANG MASUK'!$D$8:$D$29,'Daftar Rekap Barang'!C26,'BARANG MASUK'!$E$8:$E$44)</f>
        <v>10</v>
      </c>
      <c r="F26" s="24">
        <f>sumif('BARANG KELUAR'!$D$8:$D$29,C26,'BARANG KELUAR'!$E$8:$E$49)</f>
        <v>0</v>
      </c>
      <c r="G26" s="24">
        <f t="shared" si="1"/>
        <v>10</v>
      </c>
    </row>
    <row r="27" ht="15.75" customHeight="1">
      <c r="B27" s="44" t="s">
        <v>73</v>
      </c>
      <c r="C27" s="44" t="s">
        <v>161</v>
      </c>
      <c r="D27" s="45">
        <v>0.0</v>
      </c>
      <c r="E27" s="24">
        <f>SUMIF('BARANG MASUK'!$D$8:$D$29,'Daftar Rekap Barang'!C27,'BARANG MASUK'!$E$8:$E$44)</f>
        <v>8</v>
      </c>
      <c r="F27" s="24">
        <f>sumif('BARANG KELUAR'!$D$8:$D$29,C27,'BARANG KELUAR'!$E$8:$E$49)</f>
        <v>0</v>
      </c>
      <c r="G27" s="24">
        <f t="shared" si="1"/>
        <v>8</v>
      </c>
    </row>
    <row r="28" ht="15.75" customHeight="1">
      <c r="B28" s="44" t="s">
        <v>77</v>
      </c>
      <c r="C28" s="44" t="s">
        <v>164</v>
      </c>
      <c r="D28" s="45">
        <v>1.0</v>
      </c>
      <c r="E28" s="24">
        <f>SUMIF('BARANG MASUK'!$D$8:$D$29,'Daftar Rekap Barang'!C28,'BARANG MASUK'!$E$8:$E$44)</f>
        <v>2</v>
      </c>
      <c r="F28" s="24">
        <f>sumif('BARANG KELUAR'!$D$8:$D$29,C28,'BARANG KELUAR'!$E$8:$E$49)</f>
        <v>0</v>
      </c>
      <c r="G28" s="24">
        <f t="shared" si="1"/>
        <v>3</v>
      </c>
    </row>
    <row r="29" ht="15.75" customHeight="1">
      <c r="B29" s="44" t="s">
        <v>85</v>
      </c>
      <c r="C29" s="44" t="s">
        <v>167</v>
      </c>
      <c r="D29" s="45">
        <v>1.0</v>
      </c>
      <c r="E29" s="24">
        <f>SUMIF('BARANG MASUK'!$D$8:$D$29,'Daftar Rekap Barang'!C29,'BARANG MASUK'!$E$8:$E$44)</f>
        <v>2</v>
      </c>
      <c r="F29" s="24">
        <f>sumif('BARANG KELUAR'!$D$8:$D$29,C29,'BARANG KELUAR'!$E$8:$E$49)</f>
        <v>0</v>
      </c>
      <c r="G29" s="24">
        <f t="shared" si="1"/>
        <v>3</v>
      </c>
    </row>
    <row r="30" ht="15.75" customHeight="1">
      <c r="B30" s="44" t="s">
        <v>88</v>
      </c>
      <c r="C30" s="44" t="s">
        <v>171</v>
      </c>
      <c r="D30" s="45">
        <v>1.0</v>
      </c>
      <c r="E30" s="24">
        <f>SUMIF('BARANG MASUK'!$D$8:$D$29,'Daftar Rekap Barang'!C30,'BARANG MASUK'!$E$8:$E$44)</f>
        <v>1</v>
      </c>
      <c r="F30" s="24">
        <f>sumif('BARANG KELUAR'!$D$8:$D$29,C30,'BARANG KELUAR'!$E$8:$E$49)</f>
        <v>0</v>
      </c>
      <c r="G30" s="24">
        <f t="shared" si="1"/>
        <v>2</v>
      </c>
    </row>
    <row r="31" ht="15.75" customHeight="1">
      <c r="B31" s="44" t="s">
        <v>82</v>
      </c>
      <c r="C31" s="44" t="s">
        <v>83</v>
      </c>
      <c r="D31" s="45">
        <v>2.0</v>
      </c>
      <c r="E31" s="24">
        <f>SUMIF('BARANG MASUK'!$D$8:$D$29,'Daftar Rekap Barang'!C31,'BARANG MASUK'!$E$8:$E$44)</f>
        <v>0</v>
      </c>
      <c r="F31" s="24">
        <f>sumif('BARANG KELUAR'!$D$8:$D$29,C31,'BARANG KELUAR'!$E$8:$E$49)</f>
        <v>1</v>
      </c>
      <c r="G31" s="24">
        <f t="shared" si="1"/>
        <v>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2:G2"/>
    <mergeCell ref="B3:G3"/>
  </mergeCells>
  <conditionalFormatting sqref="G8:G31">
    <cfRule type="cellIs" dxfId="5" priority="1" operator="lessThan">
      <formula>3</formula>
    </cfRule>
  </conditionalFormatting>
  <dataValidations>
    <dataValidation type="custom" allowBlank="1" showDropDown="1" sqref="D8:G31">
      <formula1>AND(ISNUMBER(D8),(NOT(OR(NOT(ISERROR(DATEVALUE(D8))), AND(ISNUMBER(D8), LEFT(CELL("format", D8))="D")))))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63"/>
    <col customWidth="1" min="5" max="5" width="15.25"/>
    <col customWidth="1" min="6" max="6" width="14.0"/>
    <col customWidth="1" min="7" max="7" width="13.0"/>
  </cols>
  <sheetData>
    <row r="2">
      <c r="B2" s="1" t="s">
        <v>0</v>
      </c>
    </row>
    <row r="3">
      <c r="B3" s="1" t="s">
        <v>1</v>
      </c>
    </row>
    <row r="5">
      <c r="B5" s="2" t="s">
        <v>2</v>
      </c>
    </row>
    <row r="6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>
      <c r="B7" s="4">
        <v>1.0</v>
      </c>
      <c r="C7" s="4" t="s">
        <v>10</v>
      </c>
      <c r="D7" s="4" t="s">
        <v>11</v>
      </c>
      <c r="E7" s="4" t="s">
        <v>12</v>
      </c>
      <c r="F7" s="5"/>
      <c r="G7" s="6">
        <v>46299.0</v>
      </c>
      <c r="H7" s="5"/>
    </row>
    <row r="8">
      <c r="B8" s="4">
        <v>2.0</v>
      </c>
      <c r="C8" s="4" t="s">
        <v>13</v>
      </c>
      <c r="D8" s="4" t="s">
        <v>11</v>
      </c>
      <c r="E8" s="4" t="s">
        <v>12</v>
      </c>
      <c r="F8" s="4" t="s">
        <v>14</v>
      </c>
      <c r="G8" s="7">
        <v>46122.0</v>
      </c>
      <c r="H8" s="5"/>
    </row>
    <row r="9">
      <c r="B9" s="4">
        <v>3.0</v>
      </c>
      <c r="C9" s="4"/>
      <c r="D9" s="4"/>
      <c r="E9" s="5"/>
      <c r="F9" s="4"/>
      <c r="G9" s="9"/>
      <c r="H9" s="5"/>
    </row>
    <row r="10">
      <c r="B10" s="4">
        <v>4.0</v>
      </c>
      <c r="C10" s="4"/>
      <c r="D10" s="4"/>
      <c r="E10" s="5"/>
      <c r="F10" s="5"/>
      <c r="G10" s="9"/>
      <c r="H10" s="5"/>
    </row>
    <row r="11">
      <c r="B11" s="4">
        <v>5.0</v>
      </c>
      <c r="C11" s="4"/>
      <c r="D11" s="4"/>
      <c r="E11" s="5"/>
      <c r="F11" s="5"/>
      <c r="G11" s="9"/>
      <c r="H11" s="5"/>
    </row>
    <row r="12">
      <c r="B12" s="4">
        <v>6.0</v>
      </c>
      <c r="C12" s="4"/>
      <c r="D12" s="4"/>
      <c r="E12" s="5"/>
      <c r="F12" s="5"/>
      <c r="G12" s="9"/>
      <c r="H12" s="5"/>
    </row>
    <row r="13">
      <c r="B13" s="4">
        <v>7.0</v>
      </c>
      <c r="C13" s="4"/>
      <c r="D13" s="4"/>
      <c r="E13" s="5"/>
      <c r="F13" s="5"/>
      <c r="G13" s="9"/>
      <c r="H13" s="5"/>
    </row>
    <row r="14">
      <c r="B14" s="4">
        <v>8.0</v>
      </c>
      <c r="C14" s="4"/>
      <c r="D14" s="4"/>
      <c r="E14" s="5"/>
      <c r="F14" s="5"/>
      <c r="G14" s="9"/>
      <c r="H14" s="5"/>
    </row>
    <row r="15">
      <c r="B15" s="4">
        <v>9.0</v>
      </c>
      <c r="C15" s="4"/>
      <c r="D15" s="4"/>
      <c r="E15" s="5"/>
      <c r="F15" s="5"/>
      <c r="G15" s="9"/>
      <c r="H15" s="5"/>
    </row>
    <row r="16">
      <c r="B16" s="4">
        <v>10.0</v>
      </c>
      <c r="C16" s="4"/>
      <c r="D16" s="4"/>
      <c r="E16" s="5"/>
      <c r="F16" s="5"/>
      <c r="G16" s="9"/>
      <c r="H16" s="5"/>
    </row>
    <row r="17">
      <c r="B17" s="4">
        <v>11.0</v>
      </c>
      <c r="C17" s="4"/>
      <c r="D17" s="4"/>
      <c r="E17" s="5"/>
      <c r="F17" s="5"/>
      <c r="G17" s="9"/>
      <c r="H17" s="5"/>
    </row>
    <row r="18">
      <c r="B18" s="4">
        <v>12.0</v>
      </c>
      <c r="C18" s="4"/>
      <c r="D18" s="4"/>
      <c r="E18" s="5"/>
      <c r="F18" s="5"/>
      <c r="G18" s="9"/>
      <c r="H18" s="5"/>
    </row>
    <row r="19">
      <c r="B19" s="4">
        <v>13.0</v>
      </c>
      <c r="C19" s="4"/>
      <c r="D19" s="4"/>
      <c r="E19" s="5"/>
      <c r="F19" s="5"/>
      <c r="G19" s="9"/>
      <c r="H19" s="5"/>
    </row>
    <row r="20">
      <c r="B20" s="4">
        <v>14.0</v>
      </c>
      <c r="C20" s="4"/>
      <c r="D20" s="4"/>
      <c r="E20" s="5"/>
      <c r="F20" s="5"/>
      <c r="G20" s="9"/>
      <c r="H20" s="5"/>
    </row>
    <row r="21">
      <c r="B21" s="4">
        <v>15.0</v>
      </c>
      <c r="C21" s="4"/>
      <c r="D21" s="4"/>
      <c r="E21" s="5"/>
      <c r="F21" s="5"/>
      <c r="G21" s="9"/>
      <c r="H21" s="5"/>
    </row>
    <row r="22">
      <c r="B22" s="4">
        <v>16.0</v>
      </c>
      <c r="C22" s="4"/>
      <c r="D22" s="4"/>
      <c r="E22" s="5"/>
      <c r="F22" s="5"/>
      <c r="G22" s="9"/>
      <c r="H22" s="5"/>
    </row>
    <row r="23">
      <c r="B23" s="4">
        <v>17.0</v>
      </c>
      <c r="C23" s="4"/>
      <c r="D23" s="4"/>
      <c r="E23" s="5"/>
      <c r="F23" s="5"/>
      <c r="G23" s="9"/>
      <c r="H23" s="5"/>
    </row>
    <row r="24">
      <c r="B24" s="4">
        <v>18.0</v>
      </c>
      <c r="C24" s="4"/>
      <c r="D24" s="4"/>
      <c r="E24" s="5"/>
      <c r="F24" s="5"/>
      <c r="G24" s="9"/>
      <c r="H24" s="5"/>
    </row>
    <row r="25">
      <c r="B25" s="4">
        <v>19.0</v>
      </c>
      <c r="C25" s="4"/>
      <c r="D25" s="4"/>
      <c r="E25" s="5"/>
      <c r="F25" s="5"/>
      <c r="G25" s="9"/>
      <c r="H25" s="5"/>
    </row>
    <row r="26">
      <c r="B26" s="4">
        <v>20.0</v>
      </c>
      <c r="C26" s="4"/>
      <c r="D26" s="4"/>
      <c r="E26" s="5"/>
      <c r="F26" s="5"/>
      <c r="G26" s="9"/>
      <c r="H26" s="5"/>
    </row>
    <row r="27">
      <c r="B27" s="4">
        <v>21.0</v>
      </c>
      <c r="C27" s="4"/>
      <c r="D27" s="4"/>
      <c r="E27" s="5"/>
      <c r="F27" s="5"/>
      <c r="G27" s="9"/>
      <c r="H27" s="5"/>
    </row>
    <row r="28">
      <c r="B28" s="4">
        <v>22.0</v>
      </c>
      <c r="C28" s="4"/>
      <c r="D28" s="4"/>
      <c r="E28" s="5"/>
      <c r="F28" s="5"/>
      <c r="G28" s="9"/>
      <c r="H28" s="5"/>
    </row>
    <row r="29">
      <c r="B29" s="4">
        <v>23.0</v>
      </c>
      <c r="C29" s="4"/>
      <c r="D29" s="4"/>
      <c r="E29" s="5"/>
      <c r="F29" s="5"/>
      <c r="G29" s="9"/>
      <c r="H29" s="5"/>
    </row>
    <row r="30">
      <c r="B30" s="4">
        <v>24.0</v>
      </c>
      <c r="C30" s="4"/>
      <c r="D30" s="4"/>
      <c r="E30" s="5"/>
      <c r="F30" s="5"/>
      <c r="G30" s="9"/>
      <c r="H30" s="5"/>
    </row>
    <row r="31">
      <c r="B31" s="4">
        <v>25.0</v>
      </c>
      <c r="C31" s="4"/>
      <c r="D31" s="4"/>
      <c r="E31" s="5"/>
      <c r="F31" s="5"/>
      <c r="G31" s="9"/>
      <c r="H31" s="5"/>
    </row>
    <row r="32">
      <c r="B32" s="4">
        <v>26.0</v>
      </c>
      <c r="C32" s="4"/>
      <c r="D32" s="4"/>
      <c r="E32" s="5"/>
      <c r="F32" s="5"/>
      <c r="G32" s="9"/>
      <c r="H32" s="5"/>
    </row>
    <row r="33">
      <c r="B33" s="4">
        <v>27.0</v>
      </c>
      <c r="C33" s="4"/>
      <c r="D33" s="4"/>
      <c r="E33" s="5"/>
      <c r="F33" s="5"/>
      <c r="G33" s="9"/>
      <c r="H33" s="5"/>
    </row>
    <row r="34">
      <c r="B34" s="4">
        <v>28.0</v>
      </c>
      <c r="C34" s="4"/>
      <c r="D34" s="4"/>
      <c r="E34" s="5"/>
      <c r="F34" s="5"/>
      <c r="G34" s="9"/>
      <c r="H34" s="5"/>
    </row>
    <row r="35">
      <c r="B35" s="4">
        <v>29.0</v>
      </c>
      <c r="C35" s="4"/>
      <c r="D35" s="4"/>
      <c r="E35" s="5"/>
      <c r="F35" s="5"/>
      <c r="G35" s="9"/>
      <c r="H35" s="5"/>
    </row>
    <row r="36">
      <c r="B36" s="4">
        <v>30.0</v>
      </c>
      <c r="C36" s="4"/>
      <c r="D36" s="4"/>
      <c r="E36" s="5"/>
      <c r="F36" s="5"/>
      <c r="G36" s="9"/>
      <c r="H36" s="5"/>
    </row>
    <row r="37">
      <c r="B37" s="4">
        <v>31.0</v>
      </c>
      <c r="C37" s="4"/>
      <c r="D37" s="4"/>
      <c r="E37" s="5"/>
      <c r="F37" s="5"/>
      <c r="G37" s="9"/>
      <c r="H37" s="5"/>
    </row>
    <row r="38">
      <c r="B38" s="4">
        <v>32.0</v>
      </c>
      <c r="C38" s="4"/>
      <c r="D38" s="4"/>
      <c r="E38" s="5"/>
      <c r="F38" s="4"/>
      <c r="G38" s="9"/>
      <c r="H38" s="5"/>
    </row>
    <row r="39">
      <c r="B39" s="4">
        <v>33.0</v>
      </c>
      <c r="C39" s="4"/>
      <c r="D39" s="4"/>
      <c r="E39" s="5"/>
      <c r="F39" s="5"/>
      <c r="G39" s="9"/>
      <c r="H39" s="5"/>
    </row>
    <row r="40">
      <c r="B40" s="4">
        <v>34.0</v>
      </c>
      <c r="C40" s="5"/>
      <c r="D40" s="5"/>
      <c r="E40" s="5"/>
      <c r="F40" s="5"/>
      <c r="G40" s="9"/>
      <c r="H40" s="5"/>
    </row>
  </sheetData>
  <mergeCells count="2">
    <mergeCell ref="B2:G2"/>
    <mergeCell ref="B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3.0"/>
    <col customWidth="1" min="3" max="5" width="22.38"/>
    <col customWidth="1" min="6" max="6" width="45.5"/>
    <col customWidth="1" min="7" max="26" width="14.38"/>
  </cols>
  <sheetData>
    <row r="2">
      <c r="B2" s="1" t="s">
        <v>0</v>
      </c>
    </row>
    <row r="3">
      <c r="B3" s="1" t="s">
        <v>1</v>
      </c>
    </row>
    <row r="5">
      <c r="B5" s="10" t="s">
        <v>2</v>
      </c>
      <c r="C5" s="10"/>
    </row>
    <row r="6">
      <c r="B6" s="12"/>
      <c r="C6" s="12"/>
      <c r="D6" s="12"/>
      <c r="E6" s="12"/>
      <c r="F6" s="14"/>
    </row>
    <row r="7" ht="22.5" customHeight="1">
      <c r="B7" s="16" t="s">
        <v>18</v>
      </c>
      <c r="C7" s="16" t="s">
        <v>17</v>
      </c>
      <c r="D7" s="16" t="s">
        <v>19</v>
      </c>
      <c r="E7" s="16" t="s">
        <v>23</v>
      </c>
      <c r="F7" s="19" t="s">
        <v>26</v>
      </c>
    </row>
    <row r="8" ht="22.5" customHeight="1">
      <c r="B8" s="21" t="s">
        <v>30</v>
      </c>
      <c r="C8" s="22" t="s">
        <v>29</v>
      </c>
      <c r="D8" s="22" t="str">
        <f>IFERROR(VLOOKUP(C8,'Daftar Rekap Barang'!$B$7:$G$31,2,0),"")</f>
        <v>Monitor</v>
      </c>
      <c r="E8" s="22">
        <v>12.0</v>
      </c>
      <c r="F8" s="25" t="s">
        <v>33</v>
      </c>
    </row>
    <row r="9" ht="22.5" customHeight="1">
      <c r="B9" s="26"/>
      <c r="C9" s="22" t="s">
        <v>34</v>
      </c>
      <c r="D9" s="22" t="str">
        <f>IFERROR(VLOOKUP(C9,'Daftar Rekap Barang'!$B$7:$G$31,2,0),"")</f>
        <v>CPU</v>
      </c>
      <c r="E9" s="22">
        <v>12.0</v>
      </c>
      <c r="F9" s="25" t="s">
        <v>35</v>
      </c>
    </row>
    <row r="10" ht="22.5" customHeight="1">
      <c r="B10" s="26"/>
      <c r="C10" s="22" t="s">
        <v>38</v>
      </c>
      <c r="D10" s="22" t="str">
        <f>IFERROR(VLOOKUP(C10,'Daftar Rekap Barang'!$B$7:$G$31,2,0),"")</f>
        <v>MOUSE</v>
      </c>
      <c r="E10" s="22">
        <v>12.0</v>
      </c>
      <c r="F10" s="22" t="s">
        <v>40</v>
      </c>
    </row>
    <row r="11" ht="22.5" customHeight="1">
      <c r="B11" s="26"/>
      <c r="C11" s="22" t="s">
        <v>41</v>
      </c>
      <c r="D11" s="22" t="str">
        <f>IFERROR(VLOOKUP(C11,'Daftar Rekap Barang'!$B$7:$G$31,2,0),"")</f>
        <v>KEYBOARD</v>
      </c>
      <c r="E11" s="22">
        <v>12.0</v>
      </c>
      <c r="F11" s="22" t="s">
        <v>40</v>
      </c>
    </row>
    <row r="12" ht="22.5" customHeight="1">
      <c r="B12" s="21" t="s">
        <v>42</v>
      </c>
      <c r="C12" s="21" t="s">
        <v>44</v>
      </c>
      <c r="D12" s="22" t="str">
        <f>IFERROR(VLOOKUP(C12,'Daftar Rekap Barang'!$B$7:$G$31,2,0),"")</f>
        <v>KABEL VGA</v>
      </c>
      <c r="E12" s="21">
        <v>3.0</v>
      </c>
      <c r="F12" s="27"/>
    </row>
    <row r="13" ht="22.5" customHeight="1">
      <c r="B13" s="26"/>
      <c r="C13" s="21" t="s">
        <v>47</v>
      </c>
      <c r="D13" s="22" t="str">
        <f>IFERROR(VLOOKUP(C13,'Daftar Rekap Barang'!$B$7:$G$31,2,0),"")</f>
        <v>KABEL POWER
PRINTER </v>
      </c>
      <c r="E13" s="21">
        <v>2.0</v>
      </c>
      <c r="F13" s="27"/>
    </row>
    <row r="14" ht="22.5" customHeight="1">
      <c r="B14" s="28">
        <v>45931.0</v>
      </c>
      <c r="C14" s="21" t="s">
        <v>44</v>
      </c>
      <c r="D14" s="22" t="str">
        <f>IFERROR(VLOOKUP(C14,'Daftar Rekap Barang'!$B$7:$G$31,2,0),"")</f>
        <v>KABEL VGA</v>
      </c>
      <c r="E14" s="21">
        <v>3.0</v>
      </c>
      <c r="F14" s="27"/>
    </row>
    <row r="15" ht="22.5" customHeight="1">
      <c r="B15" s="28">
        <v>45933.0</v>
      </c>
      <c r="C15" s="21" t="s">
        <v>51</v>
      </c>
      <c r="D15" s="22" t="str">
        <f>IFERROR(VLOOKUP(C15,'Daftar Rekap Barang'!$B$7:$G$31,2,0),"")</f>
        <v>CIMOS</v>
      </c>
      <c r="E15" s="21">
        <v>2.0</v>
      </c>
      <c r="F15" s="27"/>
    </row>
    <row r="16" ht="22.5" customHeight="1">
      <c r="B16" s="26"/>
      <c r="C16" s="21" t="s">
        <v>44</v>
      </c>
      <c r="D16" s="22" t="str">
        <f>IFERROR(VLOOKUP(C16,'Daftar Rekap Barang'!$B$7:$G$31,2,0),"")</f>
        <v>KABEL VGA</v>
      </c>
      <c r="E16" s="21">
        <v>4.0</v>
      </c>
      <c r="F16" s="27"/>
    </row>
    <row r="17" ht="22.5" customHeight="1">
      <c r="B17" s="21" t="s">
        <v>55</v>
      </c>
      <c r="C17" s="21" t="s">
        <v>56</v>
      </c>
      <c r="D17" s="22" t="str">
        <f>IFERROR(VLOOKUP(C17,'Daftar Rekap Barang'!$B$7:$G$31,2,0),"")</f>
        <v>KABEL LAN</v>
      </c>
      <c r="E17" s="21">
        <v>1.0</v>
      </c>
      <c r="F17" s="25" t="s">
        <v>58</v>
      </c>
    </row>
    <row r="18" ht="22.5" customHeight="1">
      <c r="B18" s="21" t="s">
        <v>55</v>
      </c>
      <c r="C18" s="21" t="s">
        <v>59</v>
      </c>
      <c r="D18" s="22" t="str">
        <f>IFERROR(VLOOKUP(C18,'Daftar Rekap Barang'!$B$7:$G$31,2,0),"")</f>
        <v>STIKER KAWAT</v>
      </c>
      <c r="E18" s="21">
        <v>2.0</v>
      </c>
      <c r="F18" s="27"/>
    </row>
    <row r="19" ht="22.5" customHeight="1">
      <c r="B19" s="21" t="s">
        <v>62</v>
      </c>
      <c r="C19" s="21" t="s">
        <v>60</v>
      </c>
      <c r="D19" s="22" t="str">
        <f>IFERROR(VLOOKUP(C19,'Daftar Rekap Barang'!$B$7:$G$31,2,0),"")</f>
        <v>POWER SUPLAY</v>
      </c>
      <c r="E19" s="21">
        <v>5.0</v>
      </c>
      <c r="F19" s="27"/>
    </row>
    <row r="20" ht="22.5" customHeight="1">
      <c r="B20" s="21" t="s">
        <v>62</v>
      </c>
      <c r="C20" s="21" t="s">
        <v>63</v>
      </c>
      <c r="D20" s="22" t="str">
        <f>IFERROR(VLOOKUP(C20,'Daftar Rekap Barang'!$B$7:$G$31,2,0),"")</f>
        <v>RAM</v>
      </c>
      <c r="E20" s="21">
        <v>5.0</v>
      </c>
      <c r="F20" s="27"/>
    </row>
    <row r="21" ht="22.5" customHeight="1">
      <c r="B21" s="21" t="s">
        <v>62</v>
      </c>
      <c r="C21" s="21" t="s">
        <v>64</v>
      </c>
      <c r="D21" s="22" t="str">
        <f>IFERROR(VLOOKUP(C21,'Daftar Rekap Barang'!$B$7:$G$31,2,0),"")</f>
        <v>SSD</v>
      </c>
      <c r="E21" s="21">
        <v>7.0</v>
      </c>
      <c r="F21" s="27"/>
    </row>
    <row r="22" ht="15.75" customHeight="1">
      <c r="B22" s="25" t="s">
        <v>66</v>
      </c>
      <c r="C22" s="25" t="s">
        <v>63</v>
      </c>
      <c r="D22" s="22" t="str">
        <f>IFERROR(VLOOKUP(C22,'Daftar Rekap Barang'!$B$7:$G$31,2,0),"")</f>
        <v>RAM</v>
      </c>
      <c r="E22" s="25">
        <v>12.0</v>
      </c>
      <c r="F22" s="27"/>
    </row>
    <row r="23" ht="15.75" customHeight="1">
      <c r="B23" s="25" t="s">
        <v>66</v>
      </c>
      <c r="C23" s="25" t="s">
        <v>68</v>
      </c>
      <c r="D23" s="22" t="str">
        <f>IFERROR(VLOOKUP(C23,'Daftar Rekap Barang'!$B$7:$G$31,2,0),"")</f>
        <v>BATERAI AKALIN</v>
      </c>
      <c r="E23" s="25">
        <v>10.0</v>
      </c>
      <c r="F23" s="27"/>
    </row>
    <row r="24" ht="15.75" customHeight="1">
      <c r="B24" s="25" t="s">
        <v>66</v>
      </c>
      <c r="C24" s="25" t="s">
        <v>73</v>
      </c>
      <c r="D24" s="22" t="str">
        <f>IFERROR(VLOOKUP(C24,'Daftar Rekap Barang'!$B$7:$G$31,2,0),"")</f>
        <v>TINTA PRINTER</v>
      </c>
      <c r="E24" s="25">
        <v>8.0</v>
      </c>
      <c r="F24" s="27"/>
    </row>
    <row r="25" ht="15.75" customHeight="1">
      <c r="B25" s="25" t="s">
        <v>66</v>
      </c>
      <c r="C25" s="25" t="s">
        <v>77</v>
      </c>
      <c r="D25" s="22" t="str">
        <f>IFERROR(VLOOKUP(C25,'Daftar Rekap Barang'!$B$7:$G$31,2,0),"")</f>
        <v>THERMAL</v>
      </c>
      <c r="E25" s="25">
        <v>2.0</v>
      </c>
      <c r="F25" s="27"/>
    </row>
    <row r="26" ht="15.75" customHeight="1">
      <c r="B26" s="25" t="s">
        <v>66</v>
      </c>
      <c r="C26" s="25" t="s">
        <v>54</v>
      </c>
      <c r="D26" s="22" t="str">
        <f>IFERROR(VLOOKUP(C26,'Daftar Rekap Barang'!$B$7:$G$31,2,0),"")</f>
        <v>RJ45</v>
      </c>
      <c r="E26" s="25">
        <v>10.0</v>
      </c>
      <c r="F26" s="27"/>
    </row>
    <row r="27" ht="15.75" customHeight="1">
      <c r="B27" s="25" t="s">
        <v>66</v>
      </c>
      <c r="C27" s="25" t="s">
        <v>85</v>
      </c>
      <c r="D27" s="22" t="str">
        <f>IFERROR(VLOOKUP(C27,'Daftar Rekap Barang'!$B$7:$G$31,2,0),"")</f>
        <v>TOOL JARINGAN</v>
      </c>
      <c r="E27" s="25">
        <v>2.0</v>
      </c>
      <c r="F27" s="27"/>
    </row>
    <row r="28" ht="15.75" customHeight="1">
      <c r="B28" s="25" t="s">
        <v>66</v>
      </c>
      <c r="C28" s="25" t="s">
        <v>88</v>
      </c>
      <c r="D28" s="22" t="str">
        <f>IFERROR(VLOOKUP(C28,'Daftar Rekap Barang'!$B$7:$G$31,2,0),"")</f>
        <v>TOOL KIT</v>
      </c>
      <c r="E28" s="25">
        <v>1.0</v>
      </c>
      <c r="F28" s="27"/>
    </row>
    <row r="29" ht="15.75" customHeight="1">
      <c r="B29" s="36"/>
      <c r="C29" s="36"/>
      <c r="D29" s="20" t="str">
        <f>IFERROR(VLOOKUP(C29,'Daftar Rekap Barang'!$B$7:$G$31,2,0),"")</f>
        <v/>
      </c>
      <c r="E29" s="40"/>
      <c r="F29" s="36"/>
    </row>
    <row r="30" ht="15.75" customHeight="1">
      <c r="B30" s="36"/>
      <c r="C30" s="36"/>
      <c r="D30" s="20" t="str">
        <f>IFERROR(VLOOKUP(C30,'Daftar Rekap Barang'!$B$7:$G$31,2,0),"")</f>
        <v/>
      </c>
      <c r="E30" s="36"/>
      <c r="F30" s="36"/>
    </row>
    <row r="31" ht="15.75" customHeight="1">
      <c r="B31" s="36"/>
      <c r="C31" s="36"/>
      <c r="D31" s="20" t="str">
        <f>IFERROR(VLOOKUP(C31,'Daftar Rekap Barang'!$B$7:$G$31,2,0),"")</f>
        <v/>
      </c>
      <c r="E31" s="36"/>
      <c r="F31" s="36"/>
    </row>
    <row r="32" ht="15.75" customHeight="1">
      <c r="B32" s="36"/>
      <c r="C32" s="36"/>
      <c r="D32" s="20" t="str">
        <f>IFERROR(VLOOKUP(C32,'Daftar Rekap Barang'!$B$7:$G$31,2,0),"")</f>
        <v/>
      </c>
      <c r="E32" s="36"/>
      <c r="F32" s="36"/>
    </row>
    <row r="33" ht="15.75" customHeight="1">
      <c r="B33" s="36"/>
      <c r="C33" s="36"/>
      <c r="D33" s="20" t="str">
        <f>IFERROR(VLOOKUP(C33,'Daftar Rekap Barang'!$B$7:$G$31,2,0),"")</f>
        <v/>
      </c>
      <c r="E33" s="36"/>
      <c r="F33" s="36"/>
    </row>
    <row r="34" ht="15.75" customHeight="1">
      <c r="B34" s="36"/>
      <c r="C34" s="36"/>
      <c r="D34" s="20" t="str">
        <f>IFERROR(VLOOKUP(C34,'Daftar Rekap Barang'!$B$7:$G$31,2,0),"")</f>
        <v/>
      </c>
      <c r="E34" s="36"/>
      <c r="F34" s="36"/>
    </row>
    <row r="35" ht="15.75" customHeight="1">
      <c r="B35" s="36"/>
      <c r="C35" s="36"/>
      <c r="D35" s="20" t="str">
        <f>IFERROR(VLOOKUP(C35,'Daftar Rekap Barang'!$B$7:$G$31,2,0),"")</f>
        <v/>
      </c>
      <c r="E35" s="36"/>
      <c r="F35" s="36"/>
    </row>
    <row r="36" ht="15.75" customHeight="1">
      <c r="B36" s="36"/>
      <c r="C36" s="36"/>
      <c r="D36" s="20" t="str">
        <f>IFERROR(VLOOKUP(C36,'Daftar Rekap Barang'!$B$7:$G$31,2,0),"")</f>
        <v/>
      </c>
      <c r="E36" s="36"/>
      <c r="F36" s="36"/>
    </row>
    <row r="37" ht="15.75" customHeight="1">
      <c r="B37" s="36"/>
      <c r="C37" s="36"/>
      <c r="D37" s="20" t="str">
        <f>IFERROR(VLOOKUP(C37,'Daftar Rekap Barang'!$B$7:$G$31,2,0),"")</f>
        <v/>
      </c>
      <c r="E37" s="36"/>
      <c r="F37" s="36"/>
    </row>
    <row r="38" ht="15.75" customHeight="1">
      <c r="B38" s="36"/>
      <c r="C38" s="36"/>
      <c r="D38" s="20" t="str">
        <f>IFERROR(VLOOKUP(C38,'Daftar Rekap Barang'!$B$7:$G$31,2,0),"")</f>
        <v/>
      </c>
      <c r="E38" s="36"/>
      <c r="F38" s="36"/>
    </row>
    <row r="39" ht="15.75" customHeight="1">
      <c r="B39" s="36"/>
      <c r="C39" s="36"/>
      <c r="D39" s="20" t="str">
        <f>IFERROR(VLOOKUP(C39,'Daftar Rekap Barang'!$B$7:$G$31,2,0),"")</f>
        <v/>
      </c>
      <c r="E39" s="36"/>
      <c r="F39" s="36"/>
    </row>
    <row r="40" ht="15.75" customHeight="1">
      <c r="B40" s="36"/>
      <c r="C40" s="36"/>
      <c r="D40" s="20" t="str">
        <f>IFERROR(VLOOKUP(C40,'Daftar Rekap Barang'!$B$7:$G$31,2,0),"")</f>
        <v/>
      </c>
      <c r="E40" s="36"/>
      <c r="F40" s="36"/>
    </row>
    <row r="41" ht="15.75" customHeight="1">
      <c r="B41" s="36"/>
      <c r="C41" s="36"/>
      <c r="D41" s="20" t="str">
        <f>IFERROR(VLOOKUP(C41,'Daftar Rekap Barang'!$B$7:$G$31,2,0),"")</f>
        <v/>
      </c>
      <c r="E41" s="36"/>
      <c r="F41" s="36"/>
    </row>
    <row r="42" ht="15.75" customHeight="1">
      <c r="B42" s="36"/>
      <c r="C42" s="36"/>
      <c r="D42" s="20" t="str">
        <f>IFERROR(VLOOKUP(C42,'Daftar Rekap Barang'!$B$7:$G$31,2,0),"")</f>
        <v/>
      </c>
      <c r="E42" s="36"/>
      <c r="F42" s="36"/>
    </row>
    <row r="43" ht="15.75" customHeight="1">
      <c r="B43" s="36"/>
      <c r="C43" s="36"/>
      <c r="D43" s="20" t="str">
        <f>IFERROR(VLOOKUP(C43,'Daftar Rekap Barang'!$B$7:$G$31,2,0),"")</f>
        <v/>
      </c>
      <c r="E43" s="36"/>
      <c r="F43" s="36"/>
    </row>
    <row r="44" ht="15.75" customHeight="1">
      <c r="B44" s="36"/>
      <c r="C44" s="36"/>
      <c r="D44" s="20" t="str">
        <f>IFERROR(VLOOKUP(C44,'Daftar Rekap Barang'!$B$7:$G$31,2,0),"")</f>
        <v/>
      </c>
      <c r="E44" s="36"/>
      <c r="F44" s="3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2:F2"/>
    <mergeCell ref="B3:F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6.88"/>
    <col customWidth="1" min="3" max="4" width="16.38"/>
    <col customWidth="1" min="5" max="5" width="21.5"/>
    <col customWidth="1" min="6" max="6" width="19.75"/>
    <col customWidth="1" min="7" max="26" width="14.38"/>
  </cols>
  <sheetData>
    <row r="2">
      <c r="B2" s="8" t="s">
        <v>16</v>
      </c>
    </row>
    <row r="3">
      <c r="B3" s="1" t="s">
        <v>1</v>
      </c>
    </row>
    <row r="5">
      <c r="B5" s="10" t="s">
        <v>2</v>
      </c>
      <c r="C5" s="10"/>
    </row>
    <row r="6">
      <c r="B6" s="12"/>
      <c r="C6" s="12"/>
      <c r="D6" s="12"/>
      <c r="E6" s="13"/>
      <c r="F6" s="14"/>
    </row>
    <row r="7" ht="22.5" customHeight="1">
      <c r="B7" s="16" t="s">
        <v>18</v>
      </c>
      <c r="C7" s="16" t="s">
        <v>17</v>
      </c>
      <c r="D7" s="16" t="s">
        <v>19</v>
      </c>
      <c r="E7" s="18" t="s">
        <v>25</v>
      </c>
      <c r="F7" s="19" t="s">
        <v>28</v>
      </c>
    </row>
    <row r="8" ht="22.5" customHeight="1">
      <c r="B8" s="22" t="s">
        <v>31</v>
      </c>
      <c r="C8" s="22" t="s">
        <v>29</v>
      </c>
      <c r="D8" s="22" t="str">
        <f>IFERROR(VLOOKUP(C8,'Daftar Rekap Barang'!$B$7:$G$21,2,0),"")</f>
        <v>Monitor</v>
      </c>
      <c r="E8" s="21">
        <v>12.0</v>
      </c>
      <c r="F8" s="25"/>
    </row>
    <row r="9" ht="22.5" customHeight="1">
      <c r="B9" s="22"/>
      <c r="C9" s="22" t="s">
        <v>34</v>
      </c>
      <c r="D9" s="22" t="str">
        <f>IFERROR(VLOOKUP(C9,'Daftar Rekap Barang'!$B$7:$G$21,2,0),"")</f>
        <v>CPU</v>
      </c>
      <c r="E9" s="21">
        <v>12.0</v>
      </c>
      <c r="F9" s="25" t="s">
        <v>36</v>
      </c>
    </row>
    <row r="10" ht="22.5" customHeight="1">
      <c r="B10" s="22"/>
      <c r="C10" s="22" t="s">
        <v>38</v>
      </c>
      <c r="D10" s="22" t="str">
        <f>IFERROR(VLOOKUP(C10,'Daftar Rekap Barang'!$B$7:$G$21,2,0),"")</f>
        <v>MOUSE</v>
      </c>
      <c r="E10" s="21">
        <v>8.0</v>
      </c>
      <c r="F10" s="22"/>
    </row>
    <row r="11" ht="22.5" customHeight="1">
      <c r="B11" s="22"/>
      <c r="C11" s="22" t="s">
        <v>41</v>
      </c>
      <c r="D11" s="22" t="str">
        <f>IFERROR(VLOOKUP(C11,'Daftar Rekap Barang'!$B$7:$G$21,2,0),"")</f>
        <v>KEYBOARD</v>
      </c>
      <c r="E11" s="21">
        <v>7.0</v>
      </c>
      <c r="F11" s="22"/>
    </row>
    <row r="12" ht="22.5" customHeight="1">
      <c r="B12" s="21" t="s">
        <v>43</v>
      </c>
      <c r="C12" s="21" t="s">
        <v>44</v>
      </c>
      <c r="D12" s="22" t="str">
        <f>IFERROR(VLOOKUP(C12,'Daftar Rekap Barang'!$B$7:$G$21,2,0),"")</f>
        <v>KABEL VGA</v>
      </c>
      <c r="E12" s="21">
        <v>1.0</v>
      </c>
      <c r="F12" s="25" t="s">
        <v>46</v>
      </c>
    </row>
    <row r="13" ht="22.5" customHeight="1">
      <c r="B13" s="22"/>
      <c r="C13" s="21" t="s">
        <v>47</v>
      </c>
      <c r="D13" s="22" t="str">
        <f>IFERROR(VLOOKUP(C13,'Daftar Rekap Barang'!$B$7:$G$21,2,0),"")</f>
        <v>KABEL POWER
PRINTER </v>
      </c>
      <c r="E13" s="21">
        <v>1.0</v>
      </c>
      <c r="F13" s="25" t="s">
        <v>46</v>
      </c>
    </row>
    <row r="14" ht="22.5" customHeight="1">
      <c r="B14" s="21" t="s">
        <v>48</v>
      </c>
      <c r="C14" s="22" t="s">
        <v>38</v>
      </c>
      <c r="D14" s="22" t="str">
        <f>IFERROR(VLOOKUP(C14,'Daftar Rekap Barang'!$B$7:$G$21,2,0),"")</f>
        <v>MOUSE</v>
      </c>
      <c r="E14" s="21">
        <v>1.0</v>
      </c>
      <c r="F14" s="25" t="s">
        <v>50</v>
      </c>
    </row>
    <row r="15" ht="22.5" customHeight="1">
      <c r="B15" s="29" t="s">
        <v>52</v>
      </c>
      <c r="C15" s="21" t="s">
        <v>44</v>
      </c>
      <c r="D15" s="22" t="str">
        <f>IFERROR(VLOOKUP(C15,'Daftar Rekap Barang'!$B$7:$G$21,2,0),"")</f>
        <v>KABEL VGA</v>
      </c>
      <c r="E15" s="21">
        <v>1.0</v>
      </c>
      <c r="F15" s="25" t="s">
        <v>46</v>
      </c>
    </row>
    <row r="16" ht="22.5" customHeight="1">
      <c r="B16" s="30">
        <v>45922.0</v>
      </c>
      <c r="C16" s="21" t="s">
        <v>54</v>
      </c>
      <c r="D16" s="22" t="str">
        <f>IFERROR(VLOOKUP(C16,'Daftar Rekap Barang'!$B$7:$G$21,2,0),"")</f>
        <v>RJ45</v>
      </c>
      <c r="E16" s="21">
        <v>1.0</v>
      </c>
      <c r="F16" s="25" t="s">
        <v>57</v>
      </c>
    </row>
    <row r="17" ht="22.5" customHeight="1">
      <c r="B17" s="29">
        <v>45566.0</v>
      </c>
      <c r="C17" s="21" t="s">
        <v>44</v>
      </c>
      <c r="D17" s="22" t="str">
        <f>IFERROR(VLOOKUP(C17,'Daftar Rekap Barang'!$B$7:$G$21,2,0),"")</f>
        <v>KABEL VGA</v>
      </c>
      <c r="E17" s="21">
        <v>1.0</v>
      </c>
      <c r="F17" s="25" t="s">
        <v>46</v>
      </c>
    </row>
    <row r="18" ht="22.5" customHeight="1">
      <c r="B18" s="31">
        <v>45940.0</v>
      </c>
      <c r="C18" s="21" t="s">
        <v>51</v>
      </c>
      <c r="D18" s="22" t="str">
        <f>IFERROR(VLOOKUP(C18,'Daftar Rekap Barang'!$B$7:$G$21,2,0),"")</f>
        <v>CIMOS</v>
      </c>
      <c r="E18" s="21">
        <v>2.0</v>
      </c>
      <c r="F18" s="27"/>
    </row>
    <row r="19" ht="22.5" customHeight="1">
      <c r="B19" s="22"/>
      <c r="C19" s="21" t="s">
        <v>44</v>
      </c>
      <c r="D19" s="22" t="str">
        <f>IFERROR(VLOOKUP(C19,'Daftar Rekap Barang'!$B$7:$G$21,2,0),"")</f>
        <v>KABEL VGA</v>
      </c>
      <c r="E19" s="21">
        <v>1.0</v>
      </c>
      <c r="F19" s="25" t="s">
        <v>46</v>
      </c>
    </row>
    <row r="20" ht="22.5" customHeight="1">
      <c r="B20" s="30">
        <v>45976.0</v>
      </c>
      <c r="C20" s="21" t="s">
        <v>60</v>
      </c>
      <c r="D20" s="22" t="str">
        <f>IFERROR(VLOOKUP(C20,'Daftar Rekap Barang'!$B$7:$G$21,2,0),"")</f>
        <v>POWER SUPLAY</v>
      </c>
      <c r="E20" s="21">
        <v>4.0</v>
      </c>
      <c r="F20" s="25" t="s">
        <v>67</v>
      </c>
    </row>
    <row r="21" ht="22.5" customHeight="1">
      <c r="B21" s="30">
        <v>45993.0</v>
      </c>
      <c r="C21" s="21" t="s">
        <v>69</v>
      </c>
      <c r="D21" s="22" t="str">
        <f>IFERROR(VLOOKUP(C21,'Daftar Rekap Barang'!$B$7:$G$21,2,0),"")</f>
        <v>HUB</v>
      </c>
      <c r="E21" s="21">
        <v>3.0</v>
      </c>
      <c r="F21" s="25"/>
    </row>
    <row r="22" ht="15.75" customHeight="1">
      <c r="B22" s="25" t="s">
        <v>72</v>
      </c>
      <c r="C22" s="25" t="s">
        <v>56</v>
      </c>
      <c r="D22" s="25" t="s">
        <v>74</v>
      </c>
      <c r="E22" s="25" t="s">
        <v>75</v>
      </c>
      <c r="F22" s="25" t="s">
        <v>76</v>
      </c>
    </row>
    <row r="23" ht="15.75" customHeight="1">
      <c r="B23" s="25" t="s">
        <v>72</v>
      </c>
      <c r="C23" s="25" t="s">
        <v>54</v>
      </c>
      <c r="D23" s="25" t="s">
        <v>78</v>
      </c>
      <c r="E23" s="25" t="s">
        <v>79</v>
      </c>
      <c r="F23" s="25" t="s">
        <v>76</v>
      </c>
    </row>
    <row r="24" ht="15.75" customHeight="1">
      <c r="B24" s="25" t="s">
        <v>72</v>
      </c>
      <c r="C24" s="25" t="s">
        <v>82</v>
      </c>
      <c r="D24" s="25" t="s">
        <v>83</v>
      </c>
      <c r="E24" s="25">
        <v>1.0</v>
      </c>
      <c r="F24" s="25" t="s">
        <v>76</v>
      </c>
    </row>
    <row r="25" ht="15.75" customHeight="1">
      <c r="B25" s="25" t="s">
        <v>72</v>
      </c>
      <c r="C25" s="25" t="s">
        <v>69</v>
      </c>
      <c r="D25" s="25" t="s">
        <v>84</v>
      </c>
      <c r="E25" s="25">
        <v>1.0</v>
      </c>
      <c r="F25" s="25" t="s">
        <v>76</v>
      </c>
    </row>
    <row r="26" ht="15.75" customHeight="1">
      <c r="B26" s="32">
        <v>46178.0</v>
      </c>
      <c r="C26" s="25" t="s">
        <v>69</v>
      </c>
      <c r="D26" s="25" t="s">
        <v>84</v>
      </c>
      <c r="E26" s="25">
        <v>1.0</v>
      </c>
      <c r="F26" s="25" t="s">
        <v>89</v>
      </c>
    </row>
    <row r="27" ht="15.75" customHeight="1">
      <c r="B27" s="32">
        <v>46178.0</v>
      </c>
      <c r="C27" s="25" t="s">
        <v>56</v>
      </c>
      <c r="D27" s="25" t="s">
        <v>74</v>
      </c>
      <c r="E27" s="25" t="s">
        <v>92</v>
      </c>
      <c r="F27" s="25" t="s">
        <v>89</v>
      </c>
    </row>
    <row r="28" ht="15.75" customHeight="1">
      <c r="B28" s="32">
        <v>46178.0</v>
      </c>
      <c r="C28" s="25" t="s">
        <v>54</v>
      </c>
      <c r="D28" s="25" t="s">
        <v>78</v>
      </c>
      <c r="E28" s="25" t="s">
        <v>97</v>
      </c>
      <c r="F28" s="25" t="s">
        <v>89</v>
      </c>
    </row>
    <row r="29" ht="15.75" customHeight="1">
      <c r="B29" s="41">
        <v>46121.0</v>
      </c>
      <c r="C29" s="25" t="s">
        <v>60</v>
      </c>
      <c r="D29" s="25" t="s">
        <v>14</v>
      </c>
      <c r="E29" s="25">
        <v>1.0</v>
      </c>
      <c r="F29" s="25" t="s">
        <v>67</v>
      </c>
    </row>
    <row r="30" ht="15.75" customHeight="1">
      <c r="B30" s="41">
        <v>46127.0</v>
      </c>
      <c r="C30" s="25" t="s">
        <v>80</v>
      </c>
      <c r="D30" s="25" t="s">
        <v>108</v>
      </c>
      <c r="E30" s="25">
        <v>1.0</v>
      </c>
      <c r="F30" s="25" t="s">
        <v>112</v>
      </c>
    </row>
    <row r="31" ht="15.75" customHeight="1">
      <c r="B31" s="41">
        <v>46132.0</v>
      </c>
      <c r="C31" s="25" t="s">
        <v>69</v>
      </c>
      <c r="D31" s="25" t="s">
        <v>84</v>
      </c>
      <c r="E31" s="25">
        <v>1.0</v>
      </c>
      <c r="F31" s="25" t="s">
        <v>114</v>
      </c>
    </row>
    <row r="32" ht="15.75" customHeight="1">
      <c r="B32" s="41">
        <v>46138.0</v>
      </c>
      <c r="C32" s="25" t="s">
        <v>56</v>
      </c>
      <c r="D32" s="25" t="s">
        <v>74</v>
      </c>
      <c r="E32" s="25" t="s">
        <v>116</v>
      </c>
      <c r="F32" s="25" t="s">
        <v>118</v>
      </c>
    </row>
    <row r="33" ht="15.75" customHeight="1">
      <c r="B33" s="41">
        <v>46143.0</v>
      </c>
      <c r="C33" s="25" t="s">
        <v>60</v>
      </c>
      <c r="D33" s="25" t="s">
        <v>14</v>
      </c>
      <c r="E33" s="25" t="s">
        <v>120</v>
      </c>
      <c r="F33" s="25" t="s">
        <v>121</v>
      </c>
    </row>
    <row r="34" ht="15.75" customHeight="1">
      <c r="B34" s="41">
        <v>46154.0</v>
      </c>
      <c r="C34" s="25" t="s">
        <v>64</v>
      </c>
      <c r="D34" s="25" t="s">
        <v>65</v>
      </c>
      <c r="E34" s="25" t="s">
        <v>124</v>
      </c>
      <c r="F34" s="25" t="s">
        <v>126</v>
      </c>
    </row>
    <row r="35" ht="15.75" customHeight="1">
      <c r="B35" s="41">
        <v>46161.0</v>
      </c>
      <c r="C35" s="25" t="s">
        <v>38</v>
      </c>
      <c r="D35" s="25" t="s">
        <v>129</v>
      </c>
      <c r="E35" s="25">
        <v>1.0</v>
      </c>
      <c r="F35" s="25" t="s">
        <v>130</v>
      </c>
    </row>
    <row r="36" ht="15.75" customHeight="1">
      <c r="B36" s="25" t="s">
        <v>131</v>
      </c>
      <c r="C36" s="27"/>
      <c r="D36" s="25" t="s">
        <v>87</v>
      </c>
      <c r="E36" s="25">
        <v>3.0</v>
      </c>
      <c r="F36" s="25" t="s">
        <v>133</v>
      </c>
    </row>
    <row r="37" ht="15.75" customHeight="1">
      <c r="B37" s="25" t="s">
        <v>135</v>
      </c>
      <c r="C37" s="36"/>
      <c r="D37" s="25" t="s">
        <v>137</v>
      </c>
      <c r="E37" s="25">
        <v>3.0</v>
      </c>
      <c r="F37" s="25" t="s">
        <v>138</v>
      </c>
    </row>
    <row r="38" ht="15.75" customHeight="1">
      <c r="B38" s="25" t="s">
        <v>135</v>
      </c>
      <c r="C38" s="36"/>
      <c r="D38" s="25" t="s">
        <v>65</v>
      </c>
      <c r="E38" s="25">
        <v>4.0</v>
      </c>
      <c r="F38" s="25" t="s">
        <v>140</v>
      </c>
    </row>
    <row r="39" ht="15.75" customHeight="1">
      <c r="B39" s="40" t="s">
        <v>141</v>
      </c>
      <c r="C39" s="36"/>
      <c r="D39" s="25" t="s">
        <v>137</v>
      </c>
      <c r="E39" s="25">
        <v>1.0</v>
      </c>
      <c r="F39" s="25" t="s">
        <v>138</v>
      </c>
    </row>
    <row r="40" ht="15.75" customHeight="1">
      <c r="B40" s="40" t="s">
        <v>141</v>
      </c>
      <c r="C40" s="25" t="s">
        <v>83</v>
      </c>
      <c r="D40" s="25" t="s">
        <v>83</v>
      </c>
      <c r="E40" s="25">
        <v>1.0</v>
      </c>
      <c r="F40" s="25" t="s">
        <v>145</v>
      </c>
    </row>
    <row r="41" ht="15.75" customHeight="1">
      <c r="B41" s="40" t="s">
        <v>147</v>
      </c>
      <c r="C41" s="25" t="s">
        <v>148</v>
      </c>
      <c r="D41" s="25" t="s">
        <v>148</v>
      </c>
      <c r="E41" s="25" t="s">
        <v>149</v>
      </c>
      <c r="F41" s="40" t="s">
        <v>150</v>
      </c>
    </row>
    <row r="42" ht="15.75" customHeight="1">
      <c r="B42" s="40" t="s">
        <v>147</v>
      </c>
      <c r="C42" s="36"/>
      <c r="D42" s="25" t="s">
        <v>137</v>
      </c>
      <c r="E42" s="25">
        <v>1.0</v>
      </c>
      <c r="F42" s="40" t="s">
        <v>152</v>
      </c>
    </row>
    <row r="43" ht="15.75" customHeight="1">
      <c r="B43" s="40" t="s">
        <v>153</v>
      </c>
      <c r="C43" s="40" t="s">
        <v>155</v>
      </c>
      <c r="D43" s="40" t="s">
        <v>155</v>
      </c>
      <c r="E43" s="25">
        <v>1.0</v>
      </c>
      <c r="F43" s="40" t="s">
        <v>157</v>
      </c>
    </row>
    <row r="44" ht="15.75" customHeight="1">
      <c r="B44" s="36"/>
      <c r="C44" s="36"/>
      <c r="D44" s="36"/>
      <c r="E44" s="36"/>
      <c r="F44" s="36"/>
    </row>
    <row r="45" ht="15.75" customHeight="1">
      <c r="B45" s="36"/>
      <c r="C45" s="36"/>
      <c r="D45" s="36"/>
      <c r="E45" s="36"/>
      <c r="F45" s="36"/>
    </row>
    <row r="46" ht="15.75" customHeight="1">
      <c r="B46" s="36"/>
      <c r="C46" s="36"/>
      <c r="D46" s="36"/>
      <c r="E46" s="36"/>
      <c r="F46" s="36"/>
    </row>
    <row r="47" ht="15.75" customHeight="1">
      <c r="B47" s="36"/>
      <c r="C47" s="36"/>
      <c r="D47" s="36"/>
      <c r="E47" s="36"/>
      <c r="F47" s="36"/>
    </row>
    <row r="48" ht="15.75" customHeight="1">
      <c r="B48" s="36"/>
      <c r="C48" s="36"/>
      <c r="D48" s="36"/>
      <c r="E48" s="36"/>
      <c r="F48" s="36"/>
    </row>
    <row r="49" ht="15.75" customHeight="1">
      <c r="B49" s="36"/>
      <c r="C49" s="36"/>
      <c r="D49" s="36"/>
      <c r="E49" s="36"/>
      <c r="F49" s="36"/>
    </row>
    <row r="50" ht="15.75" customHeight="1">
      <c r="B50" s="36"/>
      <c r="C50" s="36"/>
      <c r="D50" s="36"/>
      <c r="E50" s="36"/>
      <c r="F50" s="36"/>
    </row>
    <row r="51" ht="15.75" customHeight="1">
      <c r="B51" s="36"/>
      <c r="C51" s="36"/>
      <c r="D51" s="36"/>
      <c r="E51" s="36"/>
      <c r="F51" s="36"/>
    </row>
    <row r="52" ht="15.75" customHeight="1">
      <c r="B52" s="36"/>
      <c r="C52" s="36"/>
      <c r="D52" s="36"/>
      <c r="E52" s="36"/>
      <c r="F52" s="36"/>
    </row>
    <row r="53" ht="15.75" customHeight="1">
      <c r="B53" s="36"/>
      <c r="C53" s="36"/>
      <c r="D53" s="36"/>
      <c r="E53" s="36"/>
      <c r="F53" s="36"/>
    </row>
    <row r="54" ht="15.75" customHeight="1">
      <c r="B54" s="36"/>
      <c r="C54" s="36"/>
      <c r="D54" s="36"/>
      <c r="E54" s="36"/>
      <c r="F54" s="36"/>
    </row>
    <row r="55" ht="15.75" customHeight="1">
      <c r="B55" s="36"/>
      <c r="C55" s="36"/>
      <c r="D55" s="36"/>
      <c r="E55" s="36"/>
      <c r="F55" s="36"/>
    </row>
    <row r="56" ht="15.75" customHeight="1">
      <c r="B56" s="36"/>
      <c r="C56" s="36"/>
      <c r="D56" s="36"/>
      <c r="E56" s="36"/>
      <c r="F56" s="36"/>
    </row>
    <row r="57" ht="15.75" customHeight="1">
      <c r="B57" s="36"/>
      <c r="C57" s="36"/>
      <c r="D57" s="36"/>
      <c r="E57" s="36"/>
      <c r="F57" s="36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2:F2"/>
    <mergeCell ref="B3:F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75"/>
    <col customWidth="1" min="3" max="3" width="19.38"/>
    <col customWidth="1" min="4" max="4" width="40.38"/>
    <col customWidth="1" min="5" max="5" width="9.13"/>
    <col customWidth="1" min="6" max="6" width="18.88"/>
    <col customWidth="1" min="7" max="7" width="73.25"/>
    <col customWidth="1" min="8" max="8" width="45.88"/>
    <col customWidth="1" min="9" max="9" width="13.5"/>
    <col customWidth="1" min="10" max="10" width="14.0"/>
    <col customWidth="1" min="11" max="11" width="17.5"/>
    <col customWidth="1" min="12" max="25" width="14.38"/>
  </cols>
  <sheetData>
    <row r="2">
      <c r="B2" s="8" t="s">
        <v>86</v>
      </c>
    </row>
    <row r="3">
      <c r="B3" s="1" t="s">
        <v>1</v>
      </c>
    </row>
    <row r="5">
      <c r="B5" s="10"/>
      <c r="C5" s="10"/>
    </row>
    <row r="6">
      <c r="B6" s="12"/>
      <c r="C6" s="12"/>
      <c r="D6" s="12"/>
      <c r="E6" s="13"/>
      <c r="F6" s="14"/>
    </row>
    <row r="7" ht="22.5" customHeight="1">
      <c r="B7" s="34" t="s">
        <v>3</v>
      </c>
      <c r="C7" s="34" t="s">
        <v>90</v>
      </c>
      <c r="D7" s="34" t="s">
        <v>91</v>
      </c>
      <c r="E7" s="35" t="s">
        <v>87</v>
      </c>
      <c r="F7" s="37" t="s">
        <v>93</v>
      </c>
      <c r="G7" s="38" t="s">
        <v>94</v>
      </c>
      <c r="H7" s="38" t="s">
        <v>95</v>
      </c>
      <c r="I7" s="39" t="s">
        <v>96</v>
      </c>
      <c r="J7" s="38" t="s">
        <v>99</v>
      </c>
      <c r="K7" s="38" t="s">
        <v>100</v>
      </c>
      <c r="L7" s="38" t="s">
        <v>101</v>
      </c>
    </row>
    <row r="8" ht="22.5" customHeight="1">
      <c r="B8" s="35">
        <v>1.0</v>
      </c>
      <c r="C8" s="35" t="s">
        <v>102</v>
      </c>
      <c r="D8" s="37" t="s">
        <v>103</v>
      </c>
      <c r="E8" s="37" t="s">
        <v>104</v>
      </c>
      <c r="F8" s="37" t="s">
        <v>105</v>
      </c>
      <c r="G8" s="37" t="s">
        <v>106</v>
      </c>
      <c r="H8" s="37" t="s">
        <v>107</v>
      </c>
      <c r="I8" s="38" t="s">
        <v>109</v>
      </c>
      <c r="J8" s="38" t="s">
        <v>111</v>
      </c>
      <c r="K8" s="42">
        <v>46244.0</v>
      </c>
      <c r="L8" s="38" t="s">
        <v>113</v>
      </c>
    </row>
    <row r="9" ht="22.5" customHeight="1">
      <c r="B9" s="35">
        <v>2.0</v>
      </c>
      <c r="C9" s="35" t="s">
        <v>115</v>
      </c>
      <c r="D9" s="37" t="s">
        <v>103</v>
      </c>
      <c r="E9" s="37" t="s">
        <v>104</v>
      </c>
      <c r="F9" s="37" t="s">
        <v>105</v>
      </c>
      <c r="G9" s="37" t="s">
        <v>117</v>
      </c>
      <c r="H9" s="38" t="s">
        <v>119</v>
      </c>
      <c r="I9" s="38" t="s">
        <v>109</v>
      </c>
      <c r="J9" s="38" t="s">
        <v>111</v>
      </c>
      <c r="K9" s="42">
        <v>46244.0</v>
      </c>
      <c r="L9" s="38" t="s">
        <v>113</v>
      </c>
    </row>
    <row r="10" ht="22.5" customHeight="1">
      <c r="B10" s="35">
        <v>3.0</v>
      </c>
      <c r="C10" s="35" t="s">
        <v>122</v>
      </c>
      <c r="D10" s="37" t="s">
        <v>103</v>
      </c>
      <c r="E10" s="35" t="s">
        <v>123</v>
      </c>
      <c r="F10" s="35" t="s">
        <v>125</v>
      </c>
      <c r="G10" s="37" t="s">
        <v>127</v>
      </c>
      <c r="H10" s="37" t="s">
        <v>128</v>
      </c>
      <c r="I10" s="38" t="s">
        <v>109</v>
      </c>
      <c r="J10" s="38" t="s">
        <v>111</v>
      </c>
      <c r="K10" s="42">
        <v>46244.0</v>
      </c>
      <c r="L10" s="43" t="s">
        <v>113</v>
      </c>
    </row>
    <row r="11" ht="22.5" customHeight="1">
      <c r="B11" s="35">
        <v>4.0</v>
      </c>
      <c r="C11" s="35" t="s">
        <v>132</v>
      </c>
      <c r="D11" s="37" t="s">
        <v>103</v>
      </c>
      <c r="E11" s="37" t="s">
        <v>104</v>
      </c>
      <c r="F11" s="35" t="s">
        <v>105</v>
      </c>
      <c r="G11" s="37" t="s">
        <v>117</v>
      </c>
      <c r="H11" s="38" t="s">
        <v>119</v>
      </c>
      <c r="I11" s="38" t="s">
        <v>109</v>
      </c>
      <c r="J11" s="43" t="s">
        <v>111</v>
      </c>
      <c r="K11" s="42">
        <v>46244.0</v>
      </c>
      <c r="L11" s="43" t="s">
        <v>113</v>
      </c>
    </row>
    <row r="12" ht="22.5" customHeight="1">
      <c r="B12" s="35">
        <v>5.0</v>
      </c>
      <c r="C12" s="35" t="s">
        <v>139</v>
      </c>
      <c r="D12" s="37" t="s">
        <v>103</v>
      </c>
      <c r="E12" s="37" t="s">
        <v>104</v>
      </c>
      <c r="F12" s="37" t="s">
        <v>105</v>
      </c>
      <c r="G12" s="37" t="s">
        <v>106</v>
      </c>
      <c r="H12" s="38" t="s">
        <v>119</v>
      </c>
      <c r="I12" s="38" t="s">
        <v>109</v>
      </c>
      <c r="J12" s="38" t="s">
        <v>144</v>
      </c>
      <c r="K12" s="42">
        <v>46244.0</v>
      </c>
      <c r="L12" s="38" t="s">
        <v>113</v>
      </c>
    </row>
    <row r="13" ht="22.5" customHeight="1">
      <c r="B13" s="35">
        <v>6.0</v>
      </c>
      <c r="C13" s="35" t="s">
        <v>146</v>
      </c>
      <c r="D13" s="37" t="s">
        <v>103</v>
      </c>
      <c r="E13" s="37" t="s">
        <v>104</v>
      </c>
      <c r="F13" s="37" t="s">
        <v>105</v>
      </c>
      <c r="G13" s="37" t="s">
        <v>117</v>
      </c>
      <c r="H13" s="38" t="s">
        <v>119</v>
      </c>
      <c r="I13" s="38" t="s">
        <v>109</v>
      </c>
      <c r="J13" s="38" t="s">
        <v>144</v>
      </c>
      <c r="K13" s="42">
        <v>46244.0</v>
      </c>
      <c r="L13" s="38" t="s">
        <v>113</v>
      </c>
    </row>
    <row r="14" ht="22.5" customHeight="1">
      <c r="B14" s="35">
        <v>7.0</v>
      </c>
      <c r="C14" s="35" t="s">
        <v>154</v>
      </c>
      <c r="D14" s="37" t="s">
        <v>103</v>
      </c>
      <c r="E14" s="37" t="s">
        <v>156</v>
      </c>
      <c r="F14" s="37" t="s">
        <v>105</v>
      </c>
      <c r="G14" s="37" t="s">
        <v>117</v>
      </c>
      <c r="H14" s="38" t="s">
        <v>119</v>
      </c>
      <c r="I14" s="38" t="s">
        <v>109</v>
      </c>
      <c r="J14" s="38" t="s">
        <v>159</v>
      </c>
      <c r="K14" s="42">
        <v>46244.0</v>
      </c>
      <c r="L14" s="38" t="s">
        <v>113</v>
      </c>
    </row>
    <row r="15" ht="22.5" customHeight="1">
      <c r="B15" s="35">
        <v>8.0</v>
      </c>
      <c r="C15" s="35" t="s">
        <v>160</v>
      </c>
      <c r="D15" s="37" t="s">
        <v>103</v>
      </c>
      <c r="E15" s="37" t="s">
        <v>123</v>
      </c>
      <c r="F15" s="37" t="s">
        <v>105</v>
      </c>
      <c r="G15" s="37" t="s">
        <v>106</v>
      </c>
      <c r="H15" s="38" t="s">
        <v>119</v>
      </c>
      <c r="I15" s="38" t="s">
        <v>109</v>
      </c>
      <c r="J15" s="38" t="s">
        <v>144</v>
      </c>
      <c r="K15" s="42">
        <v>46244.0</v>
      </c>
      <c r="L15" s="38" t="s">
        <v>113</v>
      </c>
    </row>
    <row r="16" ht="22.5" customHeight="1">
      <c r="B16" s="35">
        <v>9.0</v>
      </c>
      <c r="C16" s="35" t="s">
        <v>162</v>
      </c>
      <c r="D16" s="37" t="s">
        <v>103</v>
      </c>
      <c r="E16" s="37" t="s">
        <v>156</v>
      </c>
      <c r="F16" s="37" t="s">
        <v>105</v>
      </c>
      <c r="G16" s="37" t="s">
        <v>117</v>
      </c>
      <c r="H16" s="38" t="s">
        <v>163</v>
      </c>
      <c r="I16" s="38" t="s">
        <v>109</v>
      </c>
      <c r="J16" s="38" t="s">
        <v>165</v>
      </c>
      <c r="K16" s="42">
        <v>46244.0</v>
      </c>
      <c r="L16" s="38" t="s">
        <v>113</v>
      </c>
    </row>
    <row r="17" ht="22.5" customHeight="1">
      <c r="B17" s="35">
        <v>10.0</v>
      </c>
      <c r="C17" s="35" t="s">
        <v>166</v>
      </c>
      <c r="D17" s="37" t="s">
        <v>103</v>
      </c>
      <c r="E17" s="37" t="s">
        <v>156</v>
      </c>
      <c r="F17" s="37" t="s">
        <v>105</v>
      </c>
      <c r="G17" s="37" t="s">
        <v>117</v>
      </c>
      <c r="H17" s="38" t="s">
        <v>163</v>
      </c>
      <c r="I17" s="38" t="s">
        <v>109</v>
      </c>
      <c r="J17" s="38" t="s">
        <v>168</v>
      </c>
      <c r="K17" s="42">
        <v>46244.0</v>
      </c>
      <c r="L17" s="38" t="s">
        <v>113</v>
      </c>
    </row>
    <row r="18" ht="22.5" customHeight="1">
      <c r="B18" s="35">
        <v>11.0</v>
      </c>
      <c r="C18" s="35" t="s">
        <v>169</v>
      </c>
      <c r="D18" s="37" t="s">
        <v>103</v>
      </c>
      <c r="E18" s="37" t="s">
        <v>156</v>
      </c>
      <c r="F18" s="37" t="s">
        <v>105</v>
      </c>
      <c r="G18" s="37" t="s">
        <v>170</v>
      </c>
      <c r="H18" s="38" t="s">
        <v>163</v>
      </c>
      <c r="I18" s="38" t="s">
        <v>109</v>
      </c>
      <c r="J18" s="38" t="s">
        <v>172</v>
      </c>
      <c r="K18" s="42">
        <v>46244.0</v>
      </c>
      <c r="L18" s="38" t="s">
        <v>113</v>
      </c>
    </row>
    <row r="19" ht="22.5" customHeight="1">
      <c r="B19" s="35">
        <v>12.0</v>
      </c>
      <c r="C19" s="35" t="s">
        <v>173</v>
      </c>
      <c r="D19" s="37" t="s">
        <v>103</v>
      </c>
      <c r="E19" s="37" t="s">
        <v>104</v>
      </c>
      <c r="F19" s="37" t="s">
        <v>105</v>
      </c>
      <c r="G19" s="37" t="s">
        <v>117</v>
      </c>
      <c r="H19" s="38" t="s">
        <v>163</v>
      </c>
      <c r="I19" s="38" t="s">
        <v>109</v>
      </c>
      <c r="J19" s="38" t="s">
        <v>159</v>
      </c>
      <c r="K19" s="42">
        <v>46244.0</v>
      </c>
      <c r="L19" s="38" t="s">
        <v>113</v>
      </c>
    </row>
    <row r="20" ht="22.5" customHeight="1">
      <c r="B20" s="35">
        <v>13.0</v>
      </c>
      <c r="C20" s="35" t="s">
        <v>174</v>
      </c>
      <c r="D20" s="37" t="s">
        <v>103</v>
      </c>
      <c r="E20" s="37" t="s">
        <v>104</v>
      </c>
      <c r="F20" s="37" t="s">
        <v>105</v>
      </c>
      <c r="G20" s="37" t="s">
        <v>117</v>
      </c>
      <c r="H20" s="38" t="s">
        <v>163</v>
      </c>
      <c r="I20" s="38" t="s">
        <v>109</v>
      </c>
      <c r="J20" s="38" t="s">
        <v>111</v>
      </c>
      <c r="K20" s="42">
        <v>46244.0</v>
      </c>
      <c r="L20" s="38" t="s">
        <v>113</v>
      </c>
    </row>
    <row r="21" ht="22.5" customHeight="1">
      <c r="B21" s="35">
        <v>14.0</v>
      </c>
      <c r="C21" s="35" t="s">
        <v>176</v>
      </c>
      <c r="D21" s="37" t="s">
        <v>103</v>
      </c>
      <c r="E21" s="37" t="s">
        <v>104</v>
      </c>
      <c r="F21" s="37" t="s">
        <v>105</v>
      </c>
      <c r="G21" s="37" t="s">
        <v>106</v>
      </c>
      <c r="H21" s="38" t="s">
        <v>177</v>
      </c>
      <c r="I21" s="38" t="s">
        <v>109</v>
      </c>
      <c r="J21" s="38" t="s">
        <v>144</v>
      </c>
      <c r="K21" s="42">
        <v>46244.0</v>
      </c>
      <c r="L21" s="38" t="s">
        <v>113</v>
      </c>
    </row>
    <row r="22" ht="15.75" customHeight="1">
      <c r="B22" s="35">
        <v>15.0</v>
      </c>
      <c r="C22" s="35" t="s">
        <v>179</v>
      </c>
      <c r="D22" s="37" t="s">
        <v>103</v>
      </c>
      <c r="E22" s="37" t="s">
        <v>104</v>
      </c>
      <c r="F22" s="37" t="s">
        <v>105</v>
      </c>
      <c r="G22" s="37" t="s">
        <v>117</v>
      </c>
      <c r="H22" s="38" t="s">
        <v>163</v>
      </c>
      <c r="I22" s="38" t="s">
        <v>109</v>
      </c>
      <c r="J22" s="38" t="s">
        <v>165</v>
      </c>
      <c r="K22" s="42">
        <v>46244.0</v>
      </c>
      <c r="L22" s="38" t="s">
        <v>113</v>
      </c>
    </row>
    <row r="23" ht="15.75" customHeight="1">
      <c r="B23" s="35">
        <v>16.0</v>
      </c>
      <c r="C23" s="35" t="s">
        <v>183</v>
      </c>
      <c r="D23" s="37" t="s">
        <v>103</v>
      </c>
      <c r="E23" s="37" t="s">
        <v>104</v>
      </c>
      <c r="F23" s="37" t="s">
        <v>105</v>
      </c>
      <c r="G23" s="37" t="s">
        <v>117</v>
      </c>
      <c r="H23" s="38" t="s">
        <v>119</v>
      </c>
      <c r="I23" s="38" t="s">
        <v>109</v>
      </c>
      <c r="J23" s="38" t="s">
        <v>185</v>
      </c>
      <c r="K23" s="42">
        <v>46244.0</v>
      </c>
      <c r="L23" s="38" t="s">
        <v>113</v>
      </c>
    </row>
    <row r="24" ht="15.75" customHeight="1">
      <c r="B24" s="35">
        <v>17.0</v>
      </c>
      <c r="C24" s="35" t="s">
        <v>187</v>
      </c>
      <c r="D24" s="37" t="s">
        <v>103</v>
      </c>
      <c r="E24" s="37" t="s">
        <v>104</v>
      </c>
      <c r="F24" s="37" t="s">
        <v>105</v>
      </c>
      <c r="G24" s="37" t="s">
        <v>117</v>
      </c>
      <c r="H24" s="38" t="s">
        <v>163</v>
      </c>
      <c r="I24" s="38" t="s">
        <v>109</v>
      </c>
      <c r="J24" s="38" t="s">
        <v>159</v>
      </c>
      <c r="K24" s="42">
        <v>46244.0</v>
      </c>
      <c r="L24" s="38" t="s">
        <v>113</v>
      </c>
    </row>
    <row r="25" ht="15.75" customHeight="1">
      <c r="B25" s="35">
        <v>18.0</v>
      </c>
      <c r="C25" s="35" t="s">
        <v>189</v>
      </c>
      <c r="D25" s="37" t="s">
        <v>103</v>
      </c>
      <c r="E25" s="37" t="s">
        <v>104</v>
      </c>
      <c r="F25" s="37" t="s">
        <v>105</v>
      </c>
      <c r="G25" s="37" t="s">
        <v>117</v>
      </c>
      <c r="H25" s="38" t="s">
        <v>163</v>
      </c>
      <c r="I25" s="38" t="s">
        <v>109</v>
      </c>
      <c r="J25" s="38" t="s">
        <v>111</v>
      </c>
      <c r="K25" s="42">
        <v>46244.0</v>
      </c>
      <c r="L25" s="38" t="s">
        <v>113</v>
      </c>
    </row>
    <row r="26" ht="15.75" customHeight="1">
      <c r="B26" s="35">
        <v>19.0</v>
      </c>
      <c r="C26" s="35" t="s">
        <v>191</v>
      </c>
      <c r="D26" s="37" t="s">
        <v>103</v>
      </c>
      <c r="E26" s="37" t="s">
        <v>104</v>
      </c>
      <c r="F26" s="37" t="s">
        <v>193</v>
      </c>
      <c r="G26" s="37" t="s">
        <v>170</v>
      </c>
      <c r="H26" s="38" t="s">
        <v>163</v>
      </c>
      <c r="I26" s="38" t="s">
        <v>109</v>
      </c>
      <c r="J26" s="38" t="s">
        <v>111</v>
      </c>
      <c r="K26" s="42">
        <v>46244.0</v>
      </c>
      <c r="L26" s="38" t="s">
        <v>113</v>
      </c>
    </row>
    <row r="27" ht="15.75" customHeight="1">
      <c r="B27" s="35">
        <v>20.0</v>
      </c>
      <c r="C27" s="35" t="s">
        <v>194</v>
      </c>
      <c r="D27" s="37" t="s">
        <v>103</v>
      </c>
      <c r="E27" s="37" t="s">
        <v>104</v>
      </c>
      <c r="F27" s="37" t="s">
        <v>105</v>
      </c>
      <c r="G27" s="37" t="s">
        <v>117</v>
      </c>
      <c r="H27" s="38" t="s">
        <v>163</v>
      </c>
      <c r="I27" s="38" t="s">
        <v>109</v>
      </c>
      <c r="J27" s="38" t="s">
        <v>199</v>
      </c>
      <c r="K27" s="42">
        <v>46244.0</v>
      </c>
      <c r="L27" s="38" t="s">
        <v>113</v>
      </c>
    </row>
    <row r="28" ht="15.75" customHeight="1">
      <c r="B28" s="35">
        <v>21.0</v>
      </c>
      <c r="C28" s="35" t="s">
        <v>201</v>
      </c>
      <c r="D28" s="37" t="s">
        <v>103</v>
      </c>
      <c r="E28" s="37" t="s">
        <v>104</v>
      </c>
      <c r="F28" s="37" t="s">
        <v>105</v>
      </c>
      <c r="G28" s="37" t="s">
        <v>117</v>
      </c>
      <c r="H28" s="38" t="s">
        <v>163</v>
      </c>
      <c r="I28" s="38" t="s">
        <v>109</v>
      </c>
      <c r="J28" s="38" t="s">
        <v>204</v>
      </c>
      <c r="K28" s="42">
        <v>46244.0</v>
      </c>
      <c r="L28" s="38" t="s">
        <v>113</v>
      </c>
    </row>
    <row r="29" ht="15.75" customHeight="1">
      <c r="B29" s="35">
        <v>22.0</v>
      </c>
      <c r="C29" s="35" t="s">
        <v>208</v>
      </c>
      <c r="D29" s="37" t="s">
        <v>103</v>
      </c>
      <c r="E29" s="37" t="s">
        <v>104</v>
      </c>
      <c r="F29" s="37" t="s">
        <v>105</v>
      </c>
      <c r="G29" s="37" t="s">
        <v>117</v>
      </c>
      <c r="H29" s="38" t="s">
        <v>163</v>
      </c>
      <c r="I29" s="38" t="s">
        <v>109</v>
      </c>
      <c r="J29" s="38" t="s">
        <v>204</v>
      </c>
      <c r="K29" s="42">
        <v>46244.0</v>
      </c>
      <c r="L29" s="38" t="s">
        <v>113</v>
      </c>
    </row>
    <row r="30" ht="15.75" customHeight="1">
      <c r="B30" s="35">
        <v>23.0</v>
      </c>
      <c r="C30" s="35" t="s">
        <v>213</v>
      </c>
      <c r="D30" s="37" t="s">
        <v>103</v>
      </c>
      <c r="E30" s="37" t="s">
        <v>104</v>
      </c>
      <c r="F30" s="37" t="s">
        <v>105</v>
      </c>
      <c r="G30" s="37" t="s">
        <v>117</v>
      </c>
      <c r="H30" s="38" t="s">
        <v>215</v>
      </c>
      <c r="I30" s="38" t="s">
        <v>109</v>
      </c>
      <c r="J30" s="38" t="s">
        <v>216</v>
      </c>
      <c r="K30" s="42">
        <v>46244.0</v>
      </c>
      <c r="L30" s="38" t="s">
        <v>113</v>
      </c>
    </row>
    <row r="31" ht="15.75" customHeight="1">
      <c r="B31" s="35">
        <v>24.0</v>
      </c>
      <c r="C31" s="35" t="s">
        <v>218</v>
      </c>
      <c r="D31" s="37" t="s">
        <v>103</v>
      </c>
      <c r="E31" s="37" t="s">
        <v>104</v>
      </c>
      <c r="F31" s="37" t="s">
        <v>105</v>
      </c>
      <c r="G31" s="37" t="s">
        <v>117</v>
      </c>
      <c r="H31" s="38" t="s">
        <v>163</v>
      </c>
      <c r="I31" s="38" t="s">
        <v>109</v>
      </c>
      <c r="J31" s="38" t="s">
        <v>221</v>
      </c>
      <c r="K31" s="42">
        <v>46244.0</v>
      </c>
      <c r="L31" s="38" t="s">
        <v>113</v>
      </c>
    </row>
    <row r="32" ht="15.75" customHeight="1">
      <c r="B32" s="35">
        <v>25.0</v>
      </c>
      <c r="C32" s="35" t="s">
        <v>223</v>
      </c>
      <c r="D32" s="37" t="s">
        <v>103</v>
      </c>
      <c r="E32" s="37" t="s">
        <v>104</v>
      </c>
      <c r="F32" s="37" t="s">
        <v>105</v>
      </c>
      <c r="G32" s="37" t="s">
        <v>117</v>
      </c>
      <c r="H32" s="38" t="s">
        <v>163</v>
      </c>
      <c r="I32" s="38" t="s">
        <v>109</v>
      </c>
      <c r="J32" s="38" t="s">
        <v>159</v>
      </c>
      <c r="K32" s="42">
        <v>46244.0</v>
      </c>
      <c r="L32" s="38" t="s">
        <v>113</v>
      </c>
    </row>
    <row r="33" ht="15.75" customHeight="1">
      <c r="B33" s="35">
        <v>26.0</v>
      </c>
      <c r="C33" s="35" t="s">
        <v>227</v>
      </c>
      <c r="D33" s="37" t="s">
        <v>103</v>
      </c>
      <c r="E33" s="37" t="s">
        <v>104</v>
      </c>
      <c r="F33" s="37" t="s">
        <v>105</v>
      </c>
      <c r="G33" s="37" t="s">
        <v>117</v>
      </c>
      <c r="H33" s="38" t="s">
        <v>163</v>
      </c>
      <c r="I33" s="38" t="s">
        <v>109</v>
      </c>
      <c r="J33" s="38" t="s">
        <v>159</v>
      </c>
      <c r="K33" s="42">
        <v>46244.0</v>
      </c>
      <c r="L33" s="38" t="s">
        <v>113</v>
      </c>
    </row>
    <row r="34" ht="15.75" customHeight="1">
      <c r="B34" s="35">
        <v>27.0</v>
      </c>
      <c r="C34" s="35" t="s">
        <v>231</v>
      </c>
      <c r="D34" s="37" t="s">
        <v>103</v>
      </c>
      <c r="E34" s="37" t="s">
        <v>123</v>
      </c>
      <c r="F34" s="37" t="s">
        <v>125</v>
      </c>
      <c r="G34" s="37" t="s">
        <v>127</v>
      </c>
      <c r="H34" s="38" t="s">
        <v>128</v>
      </c>
      <c r="I34" s="38" t="s">
        <v>109</v>
      </c>
      <c r="J34" s="38" t="s">
        <v>204</v>
      </c>
      <c r="K34" s="42">
        <v>46244.0</v>
      </c>
      <c r="L34" s="38" t="s">
        <v>113</v>
      </c>
    </row>
    <row r="35" ht="15.75" customHeight="1">
      <c r="B35" s="35">
        <v>28.0</v>
      </c>
      <c r="C35" s="35" t="s">
        <v>235</v>
      </c>
      <c r="D35" s="37" t="s">
        <v>103</v>
      </c>
      <c r="E35" s="37" t="s">
        <v>123</v>
      </c>
      <c r="F35" s="37" t="s">
        <v>125</v>
      </c>
      <c r="G35" s="37" t="s">
        <v>212</v>
      </c>
      <c r="H35" s="38" t="s">
        <v>237</v>
      </c>
      <c r="I35" s="38" t="s">
        <v>109</v>
      </c>
      <c r="J35" s="38" t="s">
        <v>165</v>
      </c>
      <c r="K35" s="42">
        <v>46244.0</v>
      </c>
      <c r="L35" s="38" t="s">
        <v>113</v>
      </c>
    </row>
    <row r="36" ht="15.75" customHeight="1">
      <c r="B36" s="35">
        <v>29.0</v>
      </c>
      <c r="C36" s="35" t="s">
        <v>239</v>
      </c>
      <c r="D36" s="37" t="s">
        <v>103</v>
      </c>
      <c r="E36" s="37" t="s">
        <v>123</v>
      </c>
      <c r="F36" s="37" t="s">
        <v>125</v>
      </c>
      <c r="G36" s="37" t="s">
        <v>127</v>
      </c>
      <c r="H36" s="38" t="s">
        <v>128</v>
      </c>
      <c r="I36" s="38" t="s">
        <v>109</v>
      </c>
      <c r="J36" s="38" t="s">
        <v>185</v>
      </c>
      <c r="K36" s="42">
        <v>46244.0</v>
      </c>
      <c r="L36" s="38" t="s">
        <v>113</v>
      </c>
    </row>
    <row r="37" ht="15.75" customHeight="1">
      <c r="B37" s="35">
        <v>30.0</v>
      </c>
      <c r="C37" s="35" t="s">
        <v>242</v>
      </c>
      <c r="D37" s="37" t="s">
        <v>103</v>
      </c>
      <c r="E37" s="37" t="s">
        <v>244</v>
      </c>
      <c r="F37" s="37" t="s">
        <v>105</v>
      </c>
      <c r="G37" s="38" t="s">
        <v>117</v>
      </c>
      <c r="H37" s="38" t="s">
        <v>119</v>
      </c>
      <c r="I37" s="38" t="s">
        <v>109</v>
      </c>
      <c r="J37" s="38" t="s">
        <v>144</v>
      </c>
      <c r="K37" s="42">
        <v>46244.0</v>
      </c>
      <c r="L37" s="38" t="s">
        <v>113</v>
      </c>
    </row>
    <row r="38" ht="15.75" customHeight="1">
      <c r="B38" s="35">
        <v>31.0</v>
      </c>
      <c r="C38" s="35" t="s">
        <v>248</v>
      </c>
      <c r="D38" s="37" t="s">
        <v>103</v>
      </c>
      <c r="E38" s="37" t="s">
        <v>104</v>
      </c>
      <c r="F38" s="37" t="s">
        <v>125</v>
      </c>
      <c r="G38" s="37" t="s">
        <v>127</v>
      </c>
      <c r="H38" s="38" t="s">
        <v>128</v>
      </c>
      <c r="I38" s="38" t="s">
        <v>109</v>
      </c>
      <c r="J38" s="38" t="s">
        <v>165</v>
      </c>
      <c r="K38" s="42">
        <v>46244.0</v>
      </c>
      <c r="L38" s="38" t="s">
        <v>113</v>
      </c>
    </row>
    <row r="39" ht="15.75" customHeight="1">
      <c r="B39" s="35">
        <v>32.0</v>
      </c>
      <c r="C39" s="35" t="s">
        <v>252</v>
      </c>
      <c r="D39" s="37" t="s">
        <v>103</v>
      </c>
      <c r="E39" s="37" t="s">
        <v>244</v>
      </c>
      <c r="F39" s="37" t="s">
        <v>125</v>
      </c>
      <c r="G39" s="38" t="s">
        <v>127</v>
      </c>
      <c r="H39" s="38" t="s">
        <v>128</v>
      </c>
      <c r="I39" s="38" t="s">
        <v>109</v>
      </c>
      <c r="J39" s="38" t="s">
        <v>165</v>
      </c>
      <c r="K39" s="42">
        <v>46244.0</v>
      </c>
      <c r="L39" s="38" t="s">
        <v>113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B2:K2"/>
    <mergeCell ref="B3:K3"/>
  </mergeCells>
  <dataValidations>
    <dataValidation type="custom" allowBlank="1" showDropDown="1" sqref="K8:K39">
      <formula1>OR(NOT(ISERROR(DATEVALUE(K8))), AND(ISNUMBER(K8), LEFT(CELL("format", K8))="D"))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75"/>
    <col customWidth="1" min="3" max="3" width="28.25"/>
    <col customWidth="1" min="4" max="4" width="48.0"/>
    <col customWidth="1" min="5" max="5" width="9.13"/>
    <col customWidth="1" min="6" max="6" width="18.88"/>
    <col customWidth="1" min="7" max="7" width="70.75"/>
    <col customWidth="1" min="8" max="8" width="45.88"/>
    <col customWidth="1" min="9" max="9" width="15.0"/>
    <col customWidth="1" min="10" max="10" width="16.25"/>
    <col customWidth="1" min="11" max="11" width="17.5"/>
    <col customWidth="1" min="12" max="12" width="12.5"/>
    <col customWidth="1" min="13" max="25" width="14.38"/>
  </cols>
  <sheetData>
    <row r="2">
      <c r="B2" s="8" t="s">
        <v>175</v>
      </c>
    </row>
    <row r="3">
      <c r="B3" s="1" t="s">
        <v>1</v>
      </c>
    </row>
    <row r="5">
      <c r="B5" s="10"/>
      <c r="C5" s="10"/>
    </row>
    <row r="6">
      <c r="B6" s="12"/>
      <c r="C6" s="12"/>
      <c r="D6" s="12"/>
      <c r="E6" s="13"/>
      <c r="F6" s="14"/>
    </row>
    <row r="7" ht="22.5" customHeight="1">
      <c r="B7" s="34" t="s">
        <v>3</v>
      </c>
      <c r="C7" s="34" t="s">
        <v>90</v>
      </c>
      <c r="D7" s="34" t="s">
        <v>91</v>
      </c>
      <c r="E7" s="35" t="s">
        <v>87</v>
      </c>
      <c r="F7" s="35" t="s">
        <v>93</v>
      </c>
      <c r="G7" s="43" t="s">
        <v>94</v>
      </c>
      <c r="H7" s="43" t="s">
        <v>95</v>
      </c>
      <c r="I7" s="46" t="s">
        <v>96</v>
      </c>
      <c r="J7" s="43" t="s">
        <v>99</v>
      </c>
      <c r="K7" s="43" t="s">
        <v>100</v>
      </c>
      <c r="L7" s="43" t="s">
        <v>101</v>
      </c>
    </row>
    <row r="8" ht="22.5" customHeight="1">
      <c r="B8" s="35">
        <v>1.0</v>
      </c>
      <c r="C8" s="35" t="s">
        <v>178</v>
      </c>
      <c r="D8" s="35" t="s">
        <v>103</v>
      </c>
      <c r="E8" s="35" t="s">
        <v>123</v>
      </c>
      <c r="F8" s="35" t="s">
        <v>125</v>
      </c>
      <c r="G8" s="35" t="s">
        <v>180</v>
      </c>
      <c r="H8" s="35" t="s">
        <v>181</v>
      </c>
      <c r="I8" s="43" t="s">
        <v>109</v>
      </c>
      <c r="J8" s="43" t="s">
        <v>182</v>
      </c>
      <c r="K8" s="47">
        <v>46247.0</v>
      </c>
      <c r="L8" s="43" t="s">
        <v>113</v>
      </c>
    </row>
    <row r="9" ht="22.5" customHeight="1">
      <c r="B9" s="35">
        <v>2.0</v>
      </c>
      <c r="C9" s="35" t="s">
        <v>184</v>
      </c>
      <c r="D9" s="35" t="s">
        <v>103</v>
      </c>
      <c r="E9" s="35" t="s">
        <v>123</v>
      </c>
      <c r="F9" s="35" t="s">
        <v>125</v>
      </c>
      <c r="G9" s="35" t="s">
        <v>180</v>
      </c>
      <c r="H9" s="35" t="s">
        <v>181</v>
      </c>
      <c r="I9" s="43" t="s">
        <v>109</v>
      </c>
      <c r="J9" s="43" t="s">
        <v>186</v>
      </c>
      <c r="K9" s="47">
        <v>46247.0</v>
      </c>
      <c r="L9" s="43" t="s">
        <v>113</v>
      </c>
    </row>
    <row r="10" ht="22.5" customHeight="1">
      <c r="B10" s="35">
        <v>3.0</v>
      </c>
      <c r="C10" s="35" t="s">
        <v>188</v>
      </c>
      <c r="D10" s="35" t="s">
        <v>103</v>
      </c>
      <c r="E10" s="35" t="s">
        <v>104</v>
      </c>
      <c r="F10" s="35" t="s">
        <v>125</v>
      </c>
      <c r="G10" s="35" t="s">
        <v>127</v>
      </c>
      <c r="H10" s="35" t="s">
        <v>181</v>
      </c>
      <c r="I10" s="43" t="s">
        <v>109</v>
      </c>
      <c r="J10" s="43" t="s">
        <v>186</v>
      </c>
      <c r="K10" s="47">
        <v>46247.0</v>
      </c>
      <c r="L10" s="43" t="s">
        <v>113</v>
      </c>
    </row>
    <row r="11" ht="22.5" customHeight="1">
      <c r="B11" s="35">
        <v>4.0</v>
      </c>
      <c r="C11" s="35" t="s">
        <v>190</v>
      </c>
      <c r="D11" s="35" t="s">
        <v>103</v>
      </c>
      <c r="E11" s="35" t="s">
        <v>123</v>
      </c>
      <c r="F11" s="35" t="s">
        <v>125</v>
      </c>
      <c r="G11" s="35" t="s">
        <v>127</v>
      </c>
      <c r="H11" s="35" t="s">
        <v>181</v>
      </c>
      <c r="I11" s="43" t="s">
        <v>109</v>
      </c>
      <c r="J11" s="43" t="s">
        <v>186</v>
      </c>
      <c r="K11" s="47">
        <v>46247.0</v>
      </c>
      <c r="L11" s="43" t="s">
        <v>113</v>
      </c>
    </row>
    <row r="12" ht="22.5" customHeight="1">
      <c r="B12" s="35">
        <v>5.0</v>
      </c>
      <c r="C12" s="35" t="s">
        <v>192</v>
      </c>
      <c r="D12" s="35" t="s">
        <v>103</v>
      </c>
      <c r="E12" s="35" t="s">
        <v>104</v>
      </c>
      <c r="F12" s="35" t="s">
        <v>125</v>
      </c>
      <c r="G12" s="35" t="s">
        <v>127</v>
      </c>
      <c r="H12" s="35" t="s">
        <v>181</v>
      </c>
      <c r="I12" s="43" t="s">
        <v>109</v>
      </c>
      <c r="J12" s="43" t="s">
        <v>111</v>
      </c>
      <c r="K12" s="47">
        <v>46247.0</v>
      </c>
      <c r="L12" s="43" t="s">
        <v>113</v>
      </c>
    </row>
    <row r="13" ht="22.5" customHeight="1">
      <c r="B13" s="35">
        <v>6.0</v>
      </c>
      <c r="C13" s="35" t="s">
        <v>196</v>
      </c>
      <c r="D13" s="35" t="s">
        <v>103</v>
      </c>
      <c r="E13" s="35" t="s">
        <v>104</v>
      </c>
      <c r="F13" s="35" t="s">
        <v>197</v>
      </c>
      <c r="G13" s="35" t="s">
        <v>198</v>
      </c>
      <c r="H13" s="35" t="s">
        <v>181</v>
      </c>
      <c r="I13" s="43" t="s">
        <v>109</v>
      </c>
      <c r="J13" s="43" t="s">
        <v>200</v>
      </c>
      <c r="K13" s="47">
        <v>46247.0</v>
      </c>
      <c r="L13" s="43" t="s">
        <v>113</v>
      </c>
    </row>
    <row r="14" ht="22.5" customHeight="1">
      <c r="B14" s="35">
        <v>7.0</v>
      </c>
      <c r="C14" s="35" t="s">
        <v>202</v>
      </c>
      <c r="D14" s="35" t="s">
        <v>103</v>
      </c>
      <c r="E14" s="35" t="s">
        <v>123</v>
      </c>
      <c r="F14" s="35" t="s">
        <v>125</v>
      </c>
      <c r="G14" s="35" t="s">
        <v>127</v>
      </c>
      <c r="H14" s="35" t="s">
        <v>181</v>
      </c>
      <c r="I14" s="43" t="s">
        <v>109</v>
      </c>
      <c r="J14" s="43" t="s">
        <v>111</v>
      </c>
      <c r="K14" s="47">
        <v>46247.0</v>
      </c>
      <c r="L14" s="43" t="s">
        <v>113</v>
      </c>
    </row>
    <row r="15" ht="22.5" customHeight="1">
      <c r="B15" s="35">
        <v>8.0</v>
      </c>
      <c r="C15" s="35" t="s">
        <v>210</v>
      </c>
      <c r="D15" s="35" t="s">
        <v>103</v>
      </c>
      <c r="E15" s="35" t="s">
        <v>123</v>
      </c>
      <c r="F15" s="35" t="s">
        <v>125</v>
      </c>
      <c r="G15" s="35" t="s">
        <v>127</v>
      </c>
      <c r="H15" s="35" t="s">
        <v>181</v>
      </c>
      <c r="I15" s="43" t="s">
        <v>109</v>
      </c>
      <c r="J15" s="43" t="s">
        <v>186</v>
      </c>
      <c r="K15" s="47">
        <v>46247.0</v>
      </c>
      <c r="L15" s="43" t="s">
        <v>113</v>
      </c>
    </row>
    <row r="16" ht="22.5" customHeight="1">
      <c r="B16" s="35">
        <v>9.0</v>
      </c>
      <c r="C16" s="35" t="s">
        <v>214</v>
      </c>
      <c r="D16" s="35" t="s">
        <v>103</v>
      </c>
      <c r="E16" s="35" t="s">
        <v>123</v>
      </c>
      <c r="F16" s="35" t="s">
        <v>125</v>
      </c>
      <c r="G16" s="35" t="s">
        <v>127</v>
      </c>
      <c r="H16" s="35" t="s">
        <v>181</v>
      </c>
      <c r="I16" s="43" t="s">
        <v>109</v>
      </c>
      <c r="J16" s="43" t="s">
        <v>186</v>
      </c>
      <c r="K16" s="47">
        <v>46247.0</v>
      </c>
      <c r="L16" s="43" t="s">
        <v>113</v>
      </c>
    </row>
    <row r="17" ht="22.5" customHeight="1">
      <c r="B17" s="35">
        <v>10.0</v>
      </c>
      <c r="C17" s="35" t="s">
        <v>220</v>
      </c>
      <c r="D17" s="35" t="s">
        <v>103</v>
      </c>
      <c r="E17" s="35" t="s">
        <v>123</v>
      </c>
      <c r="F17" s="35" t="s">
        <v>125</v>
      </c>
      <c r="G17" s="35" t="s">
        <v>127</v>
      </c>
      <c r="H17" s="35" t="s">
        <v>181</v>
      </c>
      <c r="I17" s="43" t="s">
        <v>109</v>
      </c>
      <c r="J17" s="43" t="s">
        <v>111</v>
      </c>
      <c r="K17" s="47">
        <v>46247.0</v>
      </c>
      <c r="L17" s="43" t="s">
        <v>113</v>
      </c>
    </row>
    <row r="18" ht="22.5" customHeight="1">
      <c r="B18" s="35">
        <v>11.0</v>
      </c>
      <c r="C18" s="35" t="s">
        <v>224</v>
      </c>
      <c r="D18" s="35" t="s">
        <v>103</v>
      </c>
      <c r="E18" s="35" t="s">
        <v>104</v>
      </c>
      <c r="F18" s="35" t="s">
        <v>125</v>
      </c>
      <c r="G18" s="35" t="s">
        <v>127</v>
      </c>
      <c r="H18" s="43" t="s">
        <v>225</v>
      </c>
      <c r="I18" s="43" t="s">
        <v>109</v>
      </c>
      <c r="J18" s="43" t="s">
        <v>186</v>
      </c>
      <c r="K18" s="47">
        <v>46247.0</v>
      </c>
      <c r="L18" s="43" t="s">
        <v>113</v>
      </c>
    </row>
    <row r="19" ht="22.5" customHeight="1">
      <c r="B19" s="35">
        <v>12.0</v>
      </c>
      <c r="C19" s="35" t="s">
        <v>228</v>
      </c>
      <c r="D19" s="35" t="s">
        <v>103</v>
      </c>
      <c r="E19" s="35" t="s">
        <v>123</v>
      </c>
      <c r="F19" s="35" t="s">
        <v>125</v>
      </c>
      <c r="G19" s="35" t="s">
        <v>127</v>
      </c>
      <c r="H19" s="35" t="s">
        <v>128</v>
      </c>
      <c r="I19" s="43" t="s">
        <v>109</v>
      </c>
      <c r="J19" s="43" t="s">
        <v>186</v>
      </c>
      <c r="K19" s="47">
        <v>46247.0</v>
      </c>
      <c r="L19" s="43" t="s">
        <v>113</v>
      </c>
    </row>
    <row r="20" ht="22.5" customHeight="1">
      <c r="B20" s="35">
        <v>13.0</v>
      </c>
      <c r="C20" s="35" t="s">
        <v>232</v>
      </c>
      <c r="D20" s="35" t="s">
        <v>103</v>
      </c>
      <c r="E20" s="35" t="s">
        <v>123</v>
      </c>
      <c r="F20" s="35" t="s">
        <v>125</v>
      </c>
      <c r="G20" s="35" t="s">
        <v>127</v>
      </c>
      <c r="H20" s="35" t="s">
        <v>233</v>
      </c>
      <c r="I20" s="43" t="s">
        <v>109</v>
      </c>
      <c r="J20" s="43" t="s">
        <v>186</v>
      </c>
      <c r="K20" s="47">
        <v>46247.0</v>
      </c>
      <c r="L20" s="43" t="s">
        <v>113</v>
      </c>
    </row>
    <row r="21" ht="22.5" customHeight="1">
      <c r="B21" s="35">
        <v>14.0</v>
      </c>
      <c r="C21" s="35" t="s">
        <v>236</v>
      </c>
      <c r="D21" s="35" t="s">
        <v>103</v>
      </c>
      <c r="E21" s="35" t="s">
        <v>123</v>
      </c>
      <c r="F21" s="35" t="s">
        <v>125</v>
      </c>
      <c r="G21" s="35" t="s">
        <v>127</v>
      </c>
      <c r="H21" s="35" t="s">
        <v>128</v>
      </c>
      <c r="I21" s="43" t="s">
        <v>109</v>
      </c>
      <c r="J21" s="43" t="s">
        <v>186</v>
      </c>
      <c r="K21" s="47">
        <v>46247.0</v>
      </c>
      <c r="L21" s="43" t="s">
        <v>113</v>
      </c>
    </row>
    <row r="22" ht="15.75" customHeight="1">
      <c r="B22" s="35">
        <v>15.0</v>
      </c>
      <c r="C22" s="35" t="s">
        <v>240</v>
      </c>
      <c r="D22" s="35" t="s">
        <v>103</v>
      </c>
      <c r="E22" s="35" t="s">
        <v>123</v>
      </c>
      <c r="F22" s="35" t="s">
        <v>125</v>
      </c>
      <c r="G22" s="35" t="s">
        <v>127</v>
      </c>
      <c r="H22" s="35" t="s">
        <v>128</v>
      </c>
      <c r="I22" s="43" t="s">
        <v>109</v>
      </c>
      <c r="J22" s="43" t="s">
        <v>186</v>
      </c>
      <c r="K22" s="47">
        <v>46247.0</v>
      </c>
      <c r="L22" s="43" t="s">
        <v>113</v>
      </c>
    </row>
    <row r="23" ht="15.75" customHeight="1">
      <c r="B23" s="35">
        <v>16.0</v>
      </c>
      <c r="C23" s="35" t="s">
        <v>243</v>
      </c>
      <c r="D23" s="35" t="s">
        <v>103</v>
      </c>
      <c r="E23" s="35" t="s">
        <v>123</v>
      </c>
      <c r="F23" s="35" t="s">
        <v>125</v>
      </c>
      <c r="G23" s="35" t="s">
        <v>127</v>
      </c>
      <c r="H23" s="35" t="s">
        <v>128</v>
      </c>
      <c r="I23" s="43" t="s">
        <v>109</v>
      </c>
      <c r="J23" s="43" t="s">
        <v>186</v>
      </c>
      <c r="K23" s="47">
        <v>46247.0</v>
      </c>
      <c r="L23" s="43" t="s">
        <v>113</v>
      </c>
    </row>
    <row r="24" ht="15.75" customHeight="1">
      <c r="B24" s="35">
        <v>17.0</v>
      </c>
      <c r="C24" s="35" t="s">
        <v>247</v>
      </c>
      <c r="D24" s="35" t="s">
        <v>103</v>
      </c>
      <c r="E24" s="35" t="s">
        <v>123</v>
      </c>
      <c r="F24" s="35" t="s">
        <v>125</v>
      </c>
      <c r="G24" s="35" t="s">
        <v>127</v>
      </c>
      <c r="H24" s="35" t="s">
        <v>128</v>
      </c>
      <c r="I24" s="43" t="s">
        <v>109</v>
      </c>
      <c r="J24" s="43" t="s">
        <v>186</v>
      </c>
      <c r="K24" s="47">
        <v>46247.0</v>
      </c>
      <c r="L24" s="43" t="s">
        <v>113</v>
      </c>
    </row>
    <row r="25" ht="15.75" customHeight="1">
      <c r="B25" s="35">
        <v>18.0</v>
      </c>
      <c r="C25" s="35" t="s">
        <v>251</v>
      </c>
      <c r="D25" s="35" t="s">
        <v>103</v>
      </c>
      <c r="E25" s="35" t="s">
        <v>123</v>
      </c>
      <c r="F25" s="35" t="s">
        <v>125</v>
      </c>
      <c r="G25" s="35" t="s">
        <v>127</v>
      </c>
      <c r="H25" s="35" t="s">
        <v>128</v>
      </c>
      <c r="I25" s="43" t="s">
        <v>109</v>
      </c>
      <c r="J25" s="43" t="s">
        <v>186</v>
      </c>
      <c r="K25" s="47">
        <v>46247.0</v>
      </c>
      <c r="L25" s="43" t="s">
        <v>113</v>
      </c>
    </row>
    <row r="26" ht="15.75" customHeight="1">
      <c r="B26" s="35">
        <v>19.0</v>
      </c>
      <c r="C26" s="35" t="s">
        <v>255</v>
      </c>
      <c r="D26" s="35" t="s">
        <v>103</v>
      </c>
      <c r="E26" s="35" t="s">
        <v>123</v>
      </c>
      <c r="F26" s="35" t="s">
        <v>125</v>
      </c>
      <c r="G26" s="35" t="s">
        <v>127</v>
      </c>
      <c r="H26" s="35" t="s">
        <v>128</v>
      </c>
      <c r="I26" s="43" t="s">
        <v>109</v>
      </c>
      <c r="J26" s="43" t="s">
        <v>186</v>
      </c>
      <c r="K26" s="47">
        <v>46247.0</v>
      </c>
      <c r="L26" s="43" t="s">
        <v>113</v>
      </c>
    </row>
    <row r="27" ht="15.75" customHeight="1">
      <c r="B27" s="35">
        <v>20.0</v>
      </c>
      <c r="C27" s="35" t="s">
        <v>257</v>
      </c>
      <c r="D27" s="35" t="s">
        <v>103</v>
      </c>
      <c r="E27" s="35" t="s">
        <v>123</v>
      </c>
      <c r="F27" s="35" t="s">
        <v>125</v>
      </c>
      <c r="G27" s="35" t="s">
        <v>127</v>
      </c>
      <c r="H27" s="35" t="s">
        <v>128</v>
      </c>
      <c r="I27" s="43" t="s">
        <v>109</v>
      </c>
      <c r="J27" s="43" t="s">
        <v>186</v>
      </c>
      <c r="K27" s="47">
        <v>46247.0</v>
      </c>
      <c r="L27" s="43" t="s">
        <v>113</v>
      </c>
    </row>
    <row r="28" ht="15.75" customHeight="1">
      <c r="B28" s="35">
        <v>21.0</v>
      </c>
      <c r="C28" s="35" t="s">
        <v>259</v>
      </c>
      <c r="D28" s="35" t="s">
        <v>103</v>
      </c>
      <c r="E28" s="35" t="s">
        <v>123</v>
      </c>
      <c r="F28" s="35" t="s">
        <v>125</v>
      </c>
      <c r="G28" s="35" t="s">
        <v>127</v>
      </c>
      <c r="H28" s="35" t="s">
        <v>128</v>
      </c>
      <c r="I28" s="43" t="s">
        <v>109</v>
      </c>
      <c r="J28" s="43" t="s">
        <v>186</v>
      </c>
      <c r="K28" s="47">
        <v>46247.0</v>
      </c>
      <c r="L28" s="43" t="s">
        <v>113</v>
      </c>
    </row>
    <row r="29" ht="15.75" customHeight="1">
      <c r="B29" s="35">
        <v>22.0</v>
      </c>
      <c r="C29" s="35" t="s">
        <v>260</v>
      </c>
      <c r="D29" s="35" t="s">
        <v>103</v>
      </c>
      <c r="E29" s="35" t="s">
        <v>123</v>
      </c>
      <c r="F29" s="35" t="s">
        <v>125</v>
      </c>
      <c r="G29" s="35" t="s">
        <v>127</v>
      </c>
      <c r="H29" s="35" t="s">
        <v>128</v>
      </c>
      <c r="I29" s="43" t="s">
        <v>109</v>
      </c>
      <c r="J29" s="43" t="s">
        <v>245</v>
      </c>
      <c r="K29" s="47">
        <v>46247.0</v>
      </c>
      <c r="L29" s="43" t="s">
        <v>113</v>
      </c>
    </row>
    <row r="30" ht="15.75" customHeight="1">
      <c r="B30" s="35">
        <v>23.0</v>
      </c>
      <c r="C30" s="35" t="s">
        <v>264</v>
      </c>
      <c r="D30" s="35" t="s">
        <v>103</v>
      </c>
      <c r="E30" s="35" t="s">
        <v>123</v>
      </c>
      <c r="F30" s="35" t="s">
        <v>125</v>
      </c>
      <c r="G30" s="35" t="s">
        <v>127</v>
      </c>
      <c r="H30" s="35" t="s">
        <v>128</v>
      </c>
      <c r="I30" s="43" t="s">
        <v>109</v>
      </c>
      <c r="J30" s="43" t="s">
        <v>186</v>
      </c>
      <c r="K30" s="47">
        <v>46247.0</v>
      </c>
      <c r="L30" s="43" t="s">
        <v>113</v>
      </c>
    </row>
    <row r="31" ht="15.75" customHeight="1">
      <c r="B31" s="35">
        <v>24.0</v>
      </c>
      <c r="C31" s="35" t="s">
        <v>266</v>
      </c>
      <c r="D31" s="35" t="s">
        <v>103</v>
      </c>
      <c r="E31" s="35" t="s">
        <v>123</v>
      </c>
      <c r="F31" s="35" t="s">
        <v>125</v>
      </c>
      <c r="G31" s="35" t="s">
        <v>127</v>
      </c>
      <c r="H31" s="35" t="s">
        <v>128</v>
      </c>
      <c r="I31" s="43" t="s">
        <v>109</v>
      </c>
      <c r="J31" s="43" t="s">
        <v>186</v>
      </c>
      <c r="K31" s="47">
        <v>46247.0</v>
      </c>
      <c r="L31" s="43" t="s">
        <v>113</v>
      </c>
    </row>
    <row r="32" ht="15.75" customHeight="1">
      <c r="B32" s="35">
        <v>25.0</v>
      </c>
      <c r="C32" s="35" t="s">
        <v>269</v>
      </c>
      <c r="D32" s="35" t="s">
        <v>103</v>
      </c>
      <c r="E32" s="37" t="s">
        <v>123</v>
      </c>
      <c r="F32" s="35" t="s">
        <v>125</v>
      </c>
      <c r="G32" s="35" t="s">
        <v>127</v>
      </c>
      <c r="H32" s="35" t="s">
        <v>272</v>
      </c>
      <c r="I32" s="43" t="s">
        <v>273</v>
      </c>
      <c r="J32" s="43" t="s">
        <v>186</v>
      </c>
      <c r="K32" s="47">
        <v>46247.0</v>
      </c>
      <c r="L32" s="43" t="s">
        <v>113</v>
      </c>
    </row>
    <row r="33" ht="15.75" customHeight="1">
      <c r="B33" s="35">
        <v>26.0</v>
      </c>
      <c r="C33" s="43" t="s">
        <v>275</v>
      </c>
      <c r="D33" s="48" t="s">
        <v>103</v>
      </c>
      <c r="E33" s="48" t="s">
        <v>123</v>
      </c>
      <c r="F33" s="49" t="s">
        <v>125</v>
      </c>
      <c r="G33" s="38" t="s">
        <v>127</v>
      </c>
      <c r="H33" s="48" t="s">
        <v>278</v>
      </c>
      <c r="I33" s="49" t="s">
        <v>109</v>
      </c>
      <c r="J33" s="49" t="s">
        <v>186</v>
      </c>
      <c r="K33" s="50">
        <v>46247.0</v>
      </c>
      <c r="L33" s="49" t="s">
        <v>113</v>
      </c>
    </row>
    <row r="34" ht="15.75" customHeight="1">
      <c r="B34" s="35">
        <v>27.0</v>
      </c>
      <c r="C34" s="43" t="s">
        <v>279</v>
      </c>
      <c r="D34" s="48" t="s">
        <v>103</v>
      </c>
      <c r="E34" s="37" t="s">
        <v>104</v>
      </c>
      <c r="F34" s="35" t="s">
        <v>281</v>
      </c>
      <c r="G34" s="37" t="s">
        <v>282</v>
      </c>
      <c r="H34" s="37" t="s">
        <v>283</v>
      </c>
      <c r="I34" s="43" t="s">
        <v>109</v>
      </c>
      <c r="J34" s="43" t="s">
        <v>284</v>
      </c>
      <c r="K34" s="47">
        <v>46247.0</v>
      </c>
      <c r="L34" s="43" t="s">
        <v>113</v>
      </c>
    </row>
    <row r="35" ht="15.75" customHeight="1">
      <c r="B35" s="35">
        <v>28.0</v>
      </c>
      <c r="C35" s="35" t="s">
        <v>286</v>
      </c>
      <c r="D35" s="48" t="s">
        <v>103</v>
      </c>
      <c r="E35" s="37" t="s">
        <v>104</v>
      </c>
      <c r="F35" s="35" t="s">
        <v>197</v>
      </c>
      <c r="G35" s="37" t="s">
        <v>282</v>
      </c>
      <c r="H35" s="37" t="s">
        <v>283</v>
      </c>
      <c r="I35" s="43" t="s">
        <v>109</v>
      </c>
      <c r="J35" s="43" t="s">
        <v>289</v>
      </c>
      <c r="K35" s="47">
        <v>46247.0</v>
      </c>
      <c r="L35" s="43" t="s">
        <v>113</v>
      </c>
    </row>
    <row r="36" ht="15.75" customHeight="1">
      <c r="B36" s="35">
        <v>29.0</v>
      </c>
      <c r="C36" s="35" t="s">
        <v>290</v>
      </c>
      <c r="D36" s="48" t="s">
        <v>103</v>
      </c>
      <c r="E36" s="35" t="s">
        <v>104</v>
      </c>
      <c r="F36" s="35" t="s">
        <v>105</v>
      </c>
      <c r="G36" s="35" t="s">
        <v>170</v>
      </c>
      <c r="H36" s="35" t="s">
        <v>163</v>
      </c>
      <c r="I36" s="43" t="s">
        <v>109</v>
      </c>
      <c r="J36" s="43" t="s">
        <v>144</v>
      </c>
      <c r="K36" s="47">
        <v>46247.0</v>
      </c>
      <c r="L36" s="43" t="s">
        <v>113</v>
      </c>
    </row>
    <row r="37" ht="15.75" customHeight="1">
      <c r="B37" s="35">
        <v>30.0</v>
      </c>
      <c r="C37" s="35" t="s">
        <v>292</v>
      </c>
      <c r="D37" s="48" t="s">
        <v>103</v>
      </c>
      <c r="E37" s="37" t="s">
        <v>123</v>
      </c>
      <c r="F37" s="35" t="s">
        <v>125</v>
      </c>
      <c r="G37" s="38" t="s">
        <v>127</v>
      </c>
      <c r="H37" s="35" t="s">
        <v>163</v>
      </c>
      <c r="I37" s="43" t="s">
        <v>109</v>
      </c>
      <c r="J37" s="43" t="s">
        <v>186</v>
      </c>
      <c r="K37" s="47">
        <v>46247.0</v>
      </c>
      <c r="L37" s="43" t="s">
        <v>113</v>
      </c>
    </row>
    <row r="38" ht="15.75" customHeight="1">
      <c r="B38" s="35">
        <v>31.0</v>
      </c>
      <c r="C38" s="35" t="s">
        <v>295</v>
      </c>
      <c r="D38" s="48" t="s">
        <v>103</v>
      </c>
      <c r="E38" s="37" t="s">
        <v>104</v>
      </c>
      <c r="F38" s="35" t="s">
        <v>105</v>
      </c>
      <c r="G38" s="35" t="s">
        <v>298</v>
      </c>
      <c r="H38" s="35" t="s">
        <v>163</v>
      </c>
      <c r="I38" s="43" t="s">
        <v>109</v>
      </c>
      <c r="J38" s="43" t="s">
        <v>111</v>
      </c>
      <c r="K38" s="47">
        <v>46247.0</v>
      </c>
      <c r="L38" s="43" t="s">
        <v>113</v>
      </c>
    </row>
    <row r="39" ht="15.75" customHeight="1">
      <c r="B39" s="35">
        <v>32.0</v>
      </c>
      <c r="C39" s="35" t="s">
        <v>299</v>
      </c>
      <c r="D39" s="48" t="s">
        <v>103</v>
      </c>
      <c r="E39" s="35" t="s">
        <v>104</v>
      </c>
      <c r="F39" s="35" t="s">
        <v>300</v>
      </c>
      <c r="G39" s="37" t="s">
        <v>282</v>
      </c>
      <c r="H39" s="37" t="s">
        <v>283</v>
      </c>
      <c r="I39" s="43" t="s">
        <v>109</v>
      </c>
      <c r="J39" s="43" t="s">
        <v>284</v>
      </c>
      <c r="K39" s="47">
        <v>46247.0</v>
      </c>
      <c r="L39" s="43" t="s">
        <v>113</v>
      </c>
    </row>
    <row r="40" ht="15.75" customHeight="1">
      <c r="B40" s="51"/>
      <c r="C40" s="51"/>
      <c r="D40" s="52"/>
      <c r="E40" s="52"/>
      <c r="F40" s="53"/>
      <c r="G40" s="54"/>
      <c r="H40" s="54"/>
      <c r="I40" s="54"/>
      <c r="J40" s="54"/>
      <c r="K40" s="55"/>
      <c r="L40" s="54"/>
    </row>
    <row r="41" ht="15.75" customHeight="1">
      <c r="B41" s="51"/>
      <c r="C41" s="51"/>
      <c r="D41" s="52"/>
      <c r="E41" s="52"/>
      <c r="F41" s="53"/>
      <c r="G41" s="54"/>
      <c r="H41" s="54"/>
      <c r="I41" s="54"/>
      <c r="J41" s="54"/>
      <c r="K41" s="55"/>
      <c r="L41" s="54"/>
    </row>
    <row r="42" ht="15.75" customHeight="1">
      <c r="B42" s="51"/>
      <c r="C42" s="51"/>
      <c r="D42" s="52"/>
      <c r="E42" s="52"/>
      <c r="F42" s="53"/>
      <c r="G42" s="54"/>
      <c r="H42" s="54"/>
      <c r="I42" s="54"/>
      <c r="J42" s="54"/>
      <c r="K42" s="55"/>
      <c r="L42" s="54"/>
    </row>
    <row r="43" ht="15.75" customHeight="1">
      <c r="B43" s="51"/>
      <c r="C43" s="51"/>
      <c r="D43" s="52"/>
      <c r="E43" s="52"/>
      <c r="F43" s="53"/>
      <c r="G43" s="54"/>
      <c r="H43" s="54"/>
      <c r="I43" s="54"/>
      <c r="J43" s="54"/>
      <c r="K43" s="55"/>
      <c r="L43" s="54"/>
    </row>
    <row r="44" ht="15.75" customHeight="1">
      <c r="B44" s="51"/>
      <c r="C44" s="51"/>
      <c r="D44" s="52"/>
      <c r="E44" s="52"/>
      <c r="F44" s="53"/>
      <c r="G44" s="54"/>
      <c r="H44" s="54"/>
      <c r="I44" s="54"/>
      <c r="J44" s="54"/>
      <c r="K44" s="55"/>
      <c r="L44" s="54"/>
    </row>
    <row r="45" ht="15.75" customHeight="1">
      <c r="B45" s="51"/>
      <c r="C45" s="51"/>
      <c r="D45" s="52"/>
      <c r="E45" s="52"/>
      <c r="F45" s="53"/>
      <c r="G45" s="54"/>
      <c r="H45" s="54"/>
      <c r="I45" s="54"/>
      <c r="J45" s="54"/>
      <c r="K45" s="55"/>
      <c r="L45" s="54"/>
    </row>
    <row r="46" ht="15.75" customHeight="1">
      <c r="B46" s="51"/>
      <c r="C46" s="51"/>
      <c r="D46" s="52"/>
      <c r="E46" s="52"/>
      <c r="F46" s="53"/>
      <c r="G46" s="54"/>
      <c r="H46" s="54"/>
      <c r="I46" s="54"/>
      <c r="J46" s="54"/>
      <c r="K46" s="55"/>
      <c r="L46" s="54"/>
    </row>
    <row r="47" ht="15.75" customHeight="1">
      <c r="B47" s="51"/>
      <c r="C47" s="51"/>
      <c r="D47" s="52"/>
      <c r="E47" s="52"/>
      <c r="F47" s="53"/>
      <c r="G47" s="54"/>
      <c r="H47" s="54"/>
      <c r="I47" s="54"/>
      <c r="J47" s="54"/>
      <c r="K47" s="55"/>
      <c r="L47" s="54"/>
    </row>
    <row r="48" ht="15.75" customHeight="1">
      <c r="B48" s="51"/>
      <c r="C48" s="51"/>
      <c r="D48" s="52"/>
      <c r="E48" s="52"/>
      <c r="F48" s="53"/>
      <c r="G48" s="54"/>
      <c r="H48" s="54"/>
      <c r="I48" s="54"/>
      <c r="J48" s="54"/>
      <c r="K48" s="55"/>
      <c r="L48" s="54"/>
    </row>
    <row r="49" ht="15.75" customHeight="1">
      <c r="B49" s="51"/>
      <c r="C49" s="51"/>
      <c r="D49" s="52"/>
      <c r="E49" s="52"/>
      <c r="F49" s="53"/>
      <c r="G49" s="54"/>
      <c r="H49" s="54"/>
      <c r="I49" s="54"/>
      <c r="J49" s="54"/>
      <c r="K49" s="55"/>
      <c r="L49" s="54"/>
    </row>
    <row r="50" ht="15.75" customHeight="1">
      <c r="B50" s="51"/>
      <c r="C50" s="51"/>
      <c r="D50" s="52"/>
      <c r="E50" s="52"/>
      <c r="F50" s="53"/>
      <c r="G50" s="54"/>
      <c r="H50" s="54"/>
      <c r="I50" s="54"/>
      <c r="J50" s="54"/>
      <c r="K50" s="55"/>
      <c r="L50" s="54"/>
    </row>
    <row r="51" ht="15.75" customHeight="1">
      <c r="B51" s="51"/>
      <c r="C51" s="51"/>
      <c r="D51" s="52"/>
      <c r="E51" s="52"/>
      <c r="F51" s="53"/>
      <c r="G51" s="54"/>
      <c r="H51" s="54"/>
      <c r="I51" s="54"/>
      <c r="J51" s="54"/>
      <c r="K51" s="55"/>
      <c r="L51" s="54"/>
    </row>
    <row r="52" ht="15.75" customHeight="1">
      <c r="B52" s="51"/>
      <c r="C52" s="51"/>
      <c r="D52" s="52"/>
      <c r="E52" s="52"/>
      <c r="F52" s="53"/>
      <c r="G52" s="54"/>
      <c r="H52" s="54"/>
      <c r="I52" s="54"/>
      <c r="J52" s="54"/>
      <c r="K52" s="55"/>
      <c r="L52" s="54"/>
    </row>
    <row r="53" ht="15.75" customHeight="1">
      <c r="B53" s="51"/>
      <c r="C53" s="51"/>
      <c r="D53" s="52"/>
      <c r="E53" s="52"/>
      <c r="F53" s="53"/>
      <c r="G53" s="54"/>
      <c r="H53" s="54"/>
      <c r="I53" s="54"/>
      <c r="J53" s="54"/>
      <c r="K53" s="55"/>
      <c r="L53" s="54"/>
    </row>
    <row r="54" ht="15.75" customHeight="1">
      <c r="B54" s="51"/>
      <c r="C54" s="51"/>
      <c r="D54" s="52"/>
      <c r="E54" s="52"/>
      <c r="F54" s="53"/>
      <c r="G54" s="54"/>
      <c r="H54" s="54"/>
      <c r="I54" s="54"/>
      <c r="J54" s="54"/>
      <c r="K54" s="55"/>
      <c r="L54" s="54"/>
    </row>
    <row r="55" ht="15.75" customHeight="1">
      <c r="B55" s="51"/>
      <c r="C55" s="51"/>
      <c r="D55" s="52"/>
      <c r="E55" s="52"/>
      <c r="F55" s="53"/>
      <c r="G55" s="54"/>
      <c r="H55" s="54"/>
      <c r="I55" s="54"/>
      <c r="J55" s="54"/>
      <c r="K55" s="55"/>
      <c r="L55" s="54"/>
    </row>
    <row r="56" ht="15.75" customHeight="1">
      <c r="B56" s="51"/>
      <c r="C56" s="51"/>
      <c r="D56" s="52"/>
      <c r="E56" s="52"/>
      <c r="F56" s="53"/>
      <c r="G56" s="54"/>
      <c r="H56" s="54"/>
      <c r="I56" s="54"/>
      <c r="J56" s="54"/>
      <c r="K56" s="55"/>
      <c r="L56" s="54"/>
    </row>
    <row r="57" ht="15.75" customHeight="1">
      <c r="B57" s="51"/>
      <c r="C57" s="51"/>
      <c r="D57" s="52"/>
      <c r="E57" s="52"/>
      <c r="F57" s="53"/>
      <c r="G57" s="54"/>
      <c r="H57" s="54"/>
      <c r="I57" s="54"/>
      <c r="J57" s="54"/>
      <c r="K57" s="55"/>
      <c r="L57" s="54"/>
    </row>
    <row r="58" ht="15.75" customHeight="1">
      <c r="B58" s="51"/>
      <c r="C58" s="51"/>
      <c r="D58" s="52"/>
      <c r="E58" s="52"/>
      <c r="F58" s="53"/>
      <c r="G58" s="54"/>
      <c r="H58" s="54"/>
      <c r="I58" s="54"/>
      <c r="J58" s="54"/>
      <c r="K58" s="55"/>
      <c r="L58" s="54"/>
    </row>
    <row r="59" ht="15.75" customHeight="1">
      <c r="B59" s="51"/>
      <c r="C59" s="51"/>
      <c r="D59" s="52"/>
      <c r="E59" s="52"/>
      <c r="F59" s="53"/>
      <c r="G59" s="54"/>
      <c r="H59" s="54"/>
      <c r="I59" s="54"/>
      <c r="J59" s="54"/>
      <c r="K59" s="55"/>
      <c r="L59" s="54"/>
    </row>
    <row r="60" ht="15.75" customHeight="1">
      <c r="B60" s="51"/>
      <c r="C60" s="51"/>
      <c r="D60" s="52"/>
      <c r="E60" s="52"/>
      <c r="F60" s="53"/>
      <c r="G60" s="54"/>
      <c r="H60" s="54"/>
      <c r="I60" s="54"/>
      <c r="J60" s="54"/>
      <c r="K60" s="55"/>
      <c r="L60" s="54"/>
    </row>
    <row r="61" ht="15.75" customHeight="1">
      <c r="B61" s="51"/>
      <c r="C61" s="51"/>
      <c r="D61" s="52"/>
      <c r="E61" s="52"/>
      <c r="F61" s="53"/>
      <c r="G61" s="54"/>
      <c r="H61" s="54"/>
      <c r="I61" s="54"/>
      <c r="J61" s="54"/>
      <c r="K61" s="55"/>
      <c r="L61" s="54"/>
    </row>
    <row r="62" ht="15.75" customHeight="1">
      <c r="B62" s="51"/>
      <c r="C62" s="51"/>
      <c r="D62" s="52"/>
      <c r="E62" s="52"/>
      <c r="F62" s="53"/>
      <c r="G62" s="54"/>
      <c r="H62" s="54"/>
      <c r="I62" s="54"/>
      <c r="J62" s="54"/>
      <c r="K62" s="55"/>
      <c r="L62" s="54"/>
    </row>
    <row r="63" ht="15.75" customHeight="1">
      <c r="B63" s="51"/>
      <c r="C63" s="51"/>
      <c r="D63" s="52"/>
      <c r="E63" s="52"/>
      <c r="F63" s="53"/>
      <c r="G63" s="54"/>
      <c r="H63" s="54"/>
      <c r="I63" s="54"/>
      <c r="J63" s="54"/>
      <c r="K63" s="55"/>
      <c r="L63" s="54"/>
    </row>
    <row r="64" ht="15.75" customHeight="1">
      <c r="B64" s="51"/>
      <c r="C64" s="51"/>
      <c r="D64" s="52"/>
      <c r="E64" s="52"/>
      <c r="F64" s="53"/>
      <c r="G64" s="54"/>
      <c r="H64" s="54"/>
      <c r="I64" s="54"/>
      <c r="J64" s="54"/>
      <c r="K64" s="55"/>
      <c r="L64" s="54"/>
    </row>
    <row r="65" ht="15.75" customHeight="1">
      <c r="B65" s="51"/>
      <c r="C65" s="51"/>
      <c r="D65" s="52"/>
      <c r="E65" s="52"/>
      <c r="F65" s="53"/>
      <c r="G65" s="54"/>
      <c r="H65" s="54"/>
      <c r="I65" s="54"/>
      <c r="J65" s="54"/>
      <c r="K65" s="55"/>
      <c r="L65" s="54"/>
    </row>
    <row r="66" ht="15.75" customHeight="1">
      <c r="B66" s="51"/>
      <c r="C66" s="51"/>
      <c r="D66" s="52"/>
      <c r="E66" s="52"/>
      <c r="F66" s="53"/>
      <c r="G66" s="54"/>
      <c r="H66" s="54"/>
      <c r="I66" s="54"/>
      <c r="J66" s="54"/>
      <c r="K66" s="55"/>
      <c r="L66" s="54"/>
    </row>
    <row r="67" ht="15.75" customHeight="1">
      <c r="B67" s="51"/>
      <c r="C67" s="51"/>
      <c r="D67" s="52"/>
      <c r="E67" s="52"/>
      <c r="F67" s="53"/>
      <c r="G67" s="54"/>
      <c r="H67" s="54"/>
      <c r="I67" s="54"/>
      <c r="J67" s="54"/>
      <c r="K67" s="55"/>
      <c r="L67" s="54"/>
    </row>
    <row r="68" ht="15.75" customHeight="1">
      <c r="B68" s="51"/>
      <c r="C68" s="51"/>
      <c r="D68" s="52"/>
      <c r="E68" s="52"/>
      <c r="F68" s="53"/>
      <c r="G68" s="54"/>
      <c r="H68" s="54"/>
      <c r="I68" s="54"/>
      <c r="J68" s="54"/>
      <c r="K68" s="55"/>
      <c r="L68" s="54"/>
    </row>
    <row r="69" ht="15.75" customHeight="1">
      <c r="B69" s="51"/>
      <c r="C69" s="51"/>
      <c r="D69" s="52"/>
      <c r="E69" s="52"/>
      <c r="F69" s="53"/>
      <c r="G69" s="54"/>
      <c r="H69" s="54"/>
      <c r="I69" s="54"/>
      <c r="J69" s="54"/>
      <c r="K69" s="55"/>
      <c r="L69" s="54"/>
    </row>
    <row r="70" ht="15.75" customHeight="1">
      <c r="B70" s="51"/>
      <c r="C70" s="51"/>
      <c r="D70" s="52"/>
      <c r="E70" s="52"/>
      <c r="F70" s="53"/>
      <c r="G70" s="54"/>
      <c r="H70" s="54"/>
      <c r="I70" s="54"/>
      <c r="J70" s="54"/>
      <c r="K70" s="55"/>
      <c r="L70" s="54"/>
    </row>
    <row r="71" ht="15.75" customHeight="1">
      <c r="B71" s="51"/>
      <c r="C71" s="51"/>
      <c r="D71" s="52"/>
      <c r="E71" s="52"/>
      <c r="F71" s="53"/>
      <c r="G71" s="54"/>
      <c r="H71" s="54"/>
      <c r="I71" s="54"/>
      <c r="J71" s="54"/>
      <c r="K71" s="55"/>
      <c r="L71" s="54"/>
    </row>
    <row r="72" ht="15.75" customHeight="1">
      <c r="B72" s="51"/>
      <c r="C72" s="51"/>
      <c r="D72" s="52"/>
      <c r="E72" s="52"/>
      <c r="F72" s="53"/>
      <c r="G72" s="54"/>
      <c r="H72" s="54"/>
      <c r="I72" s="54"/>
      <c r="J72" s="54"/>
      <c r="K72" s="55"/>
      <c r="L72" s="54"/>
    </row>
    <row r="73" ht="15.75" customHeight="1">
      <c r="B73" s="51"/>
      <c r="C73" s="51"/>
      <c r="D73" s="52"/>
      <c r="E73" s="52"/>
      <c r="F73" s="53"/>
      <c r="G73" s="54"/>
      <c r="H73" s="54"/>
      <c r="I73" s="54"/>
      <c r="J73" s="54"/>
      <c r="K73" s="55"/>
      <c r="L73" s="54"/>
    </row>
    <row r="74" ht="15.75" customHeight="1">
      <c r="B74" s="51"/>
      <c r="C74" s="51"/>
      <c r="D74" s="52"/>
      <c r="E74" s="52"/>
      <c r="F74" s="53"/>
      <c r="G74" s="54"/>
      <c r="H74" s="54"/>
      <c r="I74" s="54"/>
      <c r="J74" s="54"/>
      <c r="K74" s="55"/>
      <c r="L74" s="54"/>
    </row>
    <row r="75" ht="15.75" customHeight="1">
      <c r="B75" s="51"/>
      <c r="C75" s="51"/>
      <c r="D75" s="52"/>
      <c r="E75" s="52"/>
      <c r="F75" s="53"/>
      <c r="G75" s="54"/>
      <c r="H75" s="54"/>
      <c r="I75" s="54"/>
      <c r="J75" s="54"/>
      <c r="K75" s="55"/>
      <c r="L75" s="54"/>
    </row>
    <row r="76" ht="15.75" customHeight="1">
      <c r="B76" s="51"/>
      <c r="C76" s="51"/>
      <c r="D76" s="52"/>
      <c r="E76" s="52"/>
      <c r="F76" s="53"/>
      <c r="G76" s="54"/>
      <c r="H76" s="54"/>
      <c r="I76" s="54"/>
      <c r="J76" s="54"/>
      <c r="K76" s="55"/>
      <c r="L76" s="54"/>
    </row>
    <row r="77" ht="15.75" customHeight="1">
      <c r="B77" s="51"/>
      <c r="C77" s="51"/>
      <c r="D77" s="52"/>
      <c r="E77" s="52"/>
      <c r="F77" s="53"/>
      <c r="G77" s="54"/>
      <c r="H77" s="54"/>
      <c r="I77" s="54"/>
      <c r="J77" s="54"/>
      <c r="K77" s="55"/>
      <c r="L77" s="54"/>
    </row>
    <row r="78" ht="15.75" customHeight="1">
      <c r="B78" s="51"/>
      <c r="C78" s="51"/>
      <c r="D78" s="52"/>
      <c r="E78" s="52"/>
      <c r="F78" s="53"/>
      <c r="G78" s="54"/>
      <c r="H78" s="54"/>
      <c r="I78" s="54"/>
      <c r="J78" s="54"/>
      <c r="K78" s="55"/>
      <c r="L78" s="54"/>
    </row>
    <row r="79" ht="15.75" customHeight="1">
      <c r="B79" s="51"/>
      <c r="C79" s="51"/>
      <c r="D79" s="52"/>
      <c r="E79" s="52"/>
      <c r="F79" s="53"/>
      <c r="G79" s="54"/>
      <c r="H79" s="54"/>
      <c r="I79" s="54"/>
      <c r="J79" s="54"/>
      <c r="K79" s="55"/>
      <c r="L79" s="54"/>
    </row>
    <row r="80" ht="15.75" customHeight="1">
      <c r="B80" s="51"/>
      <c r="C80" s="51"/>
      <c r="D80" s="52"/>
      <c r="E80" s="52"/>
      <c r="F80" s="53"/>
      <c r="G80" s="54"/>
      <c r="H80" s="54"/>
      <c r="I80" s="54"/>
      <c r="J80" s="54"/>
      <c r="K80" s="55"/>
      <c r="L80" s="54"/>
    </row>
    <row r="81" ht="15.75" customHeight="1">
      <c r="B81" s="51"/>
      <c r="C81" s="51"/>
      <c r="D81" s="52"/>
      <c r="E81" s="52"/>
      <c r="F81" s="53"/>
      <c r="G81" s="54"/>
      <c r="H81" s="54"/>
      <c r="I81" s="54"/>
      <c r="J81" s="54"/>
      <c r="K81" s="55"/>
      <c r="L81" s="54"/>
    </row>
    <row r="82" ht="15.75" customHeight="1">
      <c r="B82" s="51"/>
      <c r="C82" s="51"/>
      <c r="D82" s="52"/>
      <c r="E82" s="52"/>
      <c r="F82" s="53"/>
      <c r="G82" s="54"/>
      <c r="H82" s="54"/>
      <c r="I82" s="54"/>
      <c r="J82" s="54"/>
      <c r="K82" s="55"/>
      <c r="L82" s="54"/>
    </row>
    <row r="83" ht="15.75" customHeight="1">
      <c r="B83" s="51"/>
      <c r="C83" s="51"/>
      <c r="D83" s="52"/>
      <c r="E83" s="52"/>
      <c r="F83" s="53"/>
      <c r="G83" s="54"/>
      <c r="H83" s="54"/>
      <c r="I83" s="54"/>
      <c r="J83" s="54"/>
      <c r="K83" s="55"/>
      <c r="L83" s="54"/>
    </row>
    <row r="84" ht="15.75" customHeight="1">
      <c r="B84" s="51"/>
      <c r="C84" s="51"/>
      <c r="D84" s="52"/>
      <c r="E84" s="52"/>
      <c r="F84" s="53"/>
      <c r="G84" s="54"/>
      <c r="H84" s="54"/>
      <c r="I84" s="54"/>
      <c r="J84" s="54"/>
      <c r="K84" s="55"/>
      <c r="L84" s="54"/>
    </row>
    <row r="85" ht="15.75" customHeight="1">
      <c r="B85" s="51"/>
      <c r="C85" s="51"/>
      <c r="D85" s="52"/>
      <c r="E85" s="52"/>
      <c r="F85" s="53"/>
      <c r="G85" s="54"/>
      <c r="H85" s="54"/>
      <c r="I85" s="54"/>
      <c r="J85" s="54"/>
      <c r="K85" s="55"/>
      <c r="L85" s="54"/>
    </row>
    <row r="86" ht="15.75" customHeight="1">
      <c r="B86" s="51"/>
      <c r="C86" s="51"/>
      <c r="D86" s="52"/>
      <c r="E86" s="52"/>
      <c r="F86" s="53"/>
      <c r="G86" s="54"/>
      <c r="H86" s="54"/>
      <c r="I86" s="54"/>
      <c r="J86" s="54"/>
      <c r="K86" s="55"/>
      <c r="L86" s="54"/>
    </row>
    <row r="87" ht="15.75" customHeight="1">
      <c r="B87" s="51"/>
      <c r="C87" s="51"/>
      <c r="D87" s="52"/>
      <c r="E87" s="52"/>
      <c r="F87" s="53"/>
      <c r="G87" s="54"/>
      <c r="H87" s="54"/>
      <c r="I87" s="54"/>
      <c r="J87" s="54"/>
      <c r="K87" s="55"/>
      <c r="L87" s="54"/>
    </row>
    <row r="88" ht="15.75" customHeight="1">
      <c r="B88" s="51"/>
      <c r="C88" s="51"/>
      <c r="D88" s="52"/>
      <c r="E88" s="52"/>
      <c r="F88" s="53"/>
      <c r="G88" s="54"/>
      <c r="H88" s="54"/>
      <c r="I88" s="54"/>
      <c r="J88" s="54"/>
      <c r="K88" s="55"/>
      <c r="L88" s="54"/>
    </row>
    <row r="89" ht="15.75" customHeight="1">
      <c r="B89" s="51"/>
      <c r="C89" s="51"/>
      <c r="D89" s="52"/>
      <c r="E89" s="52"/>
      <c r="F89" s="53"/>
      <c r="G89" s="54"/>
      <c r="H89" s="54"/>
      <c r="I89" s="54"/>
      <c r="J89" s="54"/>
      <c r="K89" s="55"/>
      <c r="L89" s="54"/>
    </row>
    <row r="90" ht="15.75" customHeight="1">
      <c r="B90" s="51"/>
      <c r="C90" s="51"/>
      <c r="D90" s="52"/>
      <c r="E90" s="52"/>
      <c r="F90" s="53"/>
      <c r="G90" s="54"/>
      <c r="H90" s="54"/>
      <c r="I90" s="54"/>
      <c r="J90" s="54"/>
      <c r="K90" s="55"/>
      <c r="L90" s="54"/>
    </row>
    <row r="91" ht="15.75" customHeight="1">
      <c r="B91" s="51"/>
      <c r="C91" s="51"/>
      <c r="D91" s="52"/>
      <c r="E91" s="52"/>
      <c r="F91" s="53"/>
      <c r="G91" s="54"/>
      <c r="H91" s="54"/>
      <c r="I91" s="54"/>
      <c r="J91" s="54"/>
      <c r="K91" s="55"/>
      <c r="L91" s="54"/>
    </row>
    <row r="92" ht="15.75" customHeight="1">
      <c r="B92" s="51"/>
      <c r="C92" s="51"/>
      <c r="D92" s="52"/>
      <c r="E92" s="52"/>
      <c r="F92" s="53"/>
      <c r="G92" s="54"/>
      <c r="H92" s="54"/>
      <c r="I92" s="54"/>
      <c r="J92" s="54"/>
      <c r="K92" s="55"/>
      <c r="L92" s="54"/>
    </row>
    <row r="93" ht="15.75" customHeight="1">
      <c r="B93" s="51"/>
      <c r="C93" s="51"/>
      <c r="D93" s="52"/>
      <c r="E93" s="52"/>
      <c r="F93" s="53"/>
      <c r="G93" s="54"/>
      <c r="H93" s="54"/>
      <c r="I93" s="54"/>
      <c r="J93" s="54"/>
      <c r="K93" s="55"/>
      <c r="L93" s="54"/>
    </row>
    <row r="94" ht="15.75" customHeight="1">
      <c r="B94" s="51"/>
      <c r="C94" s="51"/>
      <c r="D94" s="52"/>
      <c r="E94" s="52"/>
      <c r="F94" s="53"/>
      <c r="G94" s="54"/>
      <c r="H94" s="54"/>
      <c r="I94" s="54"/>
      <c r="J94" s="54"/>
      <c r="K94" s="55"/>
      <c r="L94" s="54"/>
    </row>
    <row r="95" ht="15.75" customHeight="1">
      <c r="B95" s="51"/>
      <c r="C95" s="51"/>
      <c r="D95" s="52"/>
      <c r="E95" s="52"/>
      <c r="F95" s="53"/>
      <c r="G95" s="54"/>
      <c r="H95" s="54"/>
      <c r="I95" s="54"/>
      <c r="J95" s="54"/>
      <c r="K95" s="55"/>
      <c r="L95" s="54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B2:K2"/>
    <mergeCell ref="B3:K3"/>
  </mergeCells>
  <dataValidations>
    <dataValidation type="custom" allowBlank="1" showDropDown="1" sqref="K8:K95">
      <formula1>OR(NOT(ISERROR(DATEVALUE(K8))), AND(ISNUMBER(K8), LEFT(CELL("format", K8))="D"))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75"/>
    <col customWidth="1" min="3" max="3" width="23.25"/>
    <col customWidth="1" min="4" max="4" width="40.38"/>
    <col customWidth="1" min="5" max="5" width="9.13"/>
    <col customWidth="1" min="6" max="6" width="20.5"/>
    <col customWidth="1" min="7" max="7" width="72.5"/>
    <col customWidth="1" min="8" max="8" width="45.88"/>
    <col customWidth="1" min="9" max="9" width="13.5"/>
    <col customWidth="1" min="10" max="10" width="14.0"/>
    <col customWidth="1" min="11" max="11" width="17.5"/>
    <col customWidth="1" min="12" max="12" width="25.13"/>
    <col customWidth="1" min="13" max="25" width="14.38"/>
  </cols>
  <sheetData>
    <row r="2">
      <c r="B2" s="8" t="s">
        <v>195</v>
      </c>
    </row>
    <row r="3">
      <c r="B3" s="1" t="s">
        <v>1</v>
      </c>
    </row>
    <row r="5">
      <c r="B5" s="10"/>
      <c r="C5" s="10"/>
    </row>
    <row r="6">
      <c r="B6" s="12"/>
      <c r="C6" s="12"/>
      <c r="D6" s="12"/>
      <c r="E6" s="13"/>
      <c r="F6" s="14"/>
    </row>
    <row r="7" ht="22.5" customHeight="1">
      <c r="B7" s="34" t="s">
        <v>3</v>
      </c>
      <c r="C7" s="34" t="s">
        <v>90</v>
      </c>
      <c r="D7" s="34" t="s">
        <v>91</v>
      </c>
      <c r="E7" s="35" t="s">
        <v>87</v>
      </c>
      <c r="F7" s="37" t="s">
        <v>93</v>
      </c>
      <c r="G7" s="38" t="s">
        <v>94</v>
      </c>
      <c r="H7" s="38" t="s">
        <v>95</v>
      </c>
      <c r="I7" s="39" t="s">
        <v>96</v>
      </c>
      <c r="J7" s="38" t="s">
        <v>99</v>
      </c>
      <c r="K7" s="38" t="s">
        <v>100</v>
      </c>
      <c r="L7" s="38" t="s">
        <v>101</v>
      </c>
    </row>
    <row r="8" ht="22.5" customHeight="1">
      <c r="B8" s="35">
        <v>1.0</v>
      </c>
      <c r="C8" s="35" t="s">
        <v>203</v>
      </c>
      <c r="D8" s="37" t="s">
        <v>205</v>
      </c>
      <c r="E8" s="37" t="s">
        <v>104</v>
      </c>
      <c r="F8" s="37" t="s">
        <v>105</v>
      </c>
      <c r="G8" s="37" t="s">
        <v>206</v>
      </c>
      <c r="H8" s="37" t="s">
        <v>207</v>
      </c>
      <c r="I8" s="38" t="s">
        <v>109</v>
      </c>
      <c r="J8" s="38" t="s">
        <v>209</v>
      </c>
      <c r="K8" s="42">
        <v>46234.0</v>
      </c>
      <c r="L8" s="38" t="s">
        <v>113</v>
      </c>
    </row>
    <row r="9" ht="22.5" customHeight="1">
      <c r="B9" s="35">
        <v>2.0</v>
      </c>
      <c r="C9" s="35" t="s">
        <v>211</v>
      </c>
      <c r="D9" s="37" t="s">
        <v>205</v>
      </c>
      <c r="E9" s="37" t="s">
        <v>123</v>
      </c>
      <c r="F9" s="37" t="s">
        <v>125</v>
      </c>
      <c r="G9" s="37" t="s">
        <v>212</v>
      </c>
      <c r="H9" s="37" t="s">
        <v>207</v>
      </c>
      <c r="I9" s="38" t="s">
        <v>109</v>
      </c>
      <c r="J9" s="38" t="s">
        <v>186</v>
      </c>
      <c r="K9" s="42">
        <v>46234.0</v>
      </c>
      <c r="L9" s="38" t="s">
        <v>113</v>
      </c>
    </row>
    <row r="10" ht="22.5" customHeight="1">
      <c r="B10" s="35">
        <v>3.0</v>
      </c>
      <c r="C10" s="35" t="s">
        <v>217</v>
      </c>
      <c r="D10" s="37" t="s">
        <v>205</v>
      </c>
      <c r="E10" s="35" t="s">
        <v>104</v>
      </c>
      <c r="F10" s="35" t="s">
        <v>105</v>
      </c>
      <c r="G10" s="37" t="s">
        <v>206</v>
      </c>
      <c r="H10" s="37" t="s">
        <v>219</v>
      </c>
      <c r="I10" s="38" t="s">
        <v>109</v>
      </c>
      <c r="J10" s="43" t="s">
        <v>111</v>
      </c>
      <c r="K10" s="42">
        <v>46234.0</v>
      </c>
      <c r="L10" s="43" t="s">
        <v>113</v>
      </c>
    </row>
    <row r="11" ht="22.5" customHeight="1">
      <c r="B11" s="35">
        <v>4.0</v>
      </c>
      <c r="C11" s="35" t="s">
        <v>222</v>
      </c>
      <c r="D11" s="37" t="s">
        <v>205</v>
      </c>
      <c r="E11" s="37" t="s">
        <v>123</v>
      </c>
      <c r="F11" s="35" t="s">
        <v>125</v>
      </c>
      <c r="G11" s="37" t="s">
        <v>212</v>
      </c>
      <c r="H11" s="37" t="s">
        <v>219</v>
      </c>
      <c r="I11" s="38" t="s">
        <v>109</v>
      </c>
      <c r="J11" s="43" t="s">
        <v>186</v>
      </c>
      <c r="K11" s="42">
        <v>46234.0</v>
      </c>
      <c r="L11" s="43" t="s">
        <v>113</v>
      </c>
    </row>
    <row r="12" ht="22.5" customHeight="1">
      <c r="B12" s="35">
        <v>5.0</v>
      </c>
      <c r="C12" s="35" t="s">
        <v>226</v>
      </c>
      <c r="D12" s="37" t="s">
        <v>205</v>
      </c>
      <c r="E12" s="37" t="s">
        <v>123</v>
      </c>
      <c r="F12" s="35" t="s">
        <v>125</v>
      </c>
      <c r="G12" s="37" t="s">
        <v>212</v>
      </c>
      <c r="H12" s="37" t="s">
        <v>219</v>
      </c>
      <c r="I12" s="38" t="s">
        <v>109</v>
      </c>
      <c r="J12" s="38" t="s">
        <v>229</v>
      </c>
      <c r="K12" s="42">
        <v>46234.0</v>
      </c>
      <c r="L12" s="38" t="s">
        <v>113</v>
      </c>
    </row>
    <row r="13" ht="22.5" customHeight="1">
      <c r="B13" s="35">
        <v>6.0</v>
      </c>
      <c r="C13" s="35" t="s">
        <v>230</v>
      </c>
      <c r="D13" s="37" t="s">
        <v>205</v>
      </c>
      <c r="E13" s="37" t="s">
        <v>123</v>
      </c>
      <c r="F13" s="37" t="s">
        <v>125</v>
      </c>
      <c r="G13" s="37" t="s">
        <v>212</v>
      </c>
      <c r="H13" s="37" t="s">
        <v>219</v>
      </c>
      <c r="I13" s="38" t="s">
        <v>109</v>
      </c>
      <c r="J13" s="38" t="s">
        <v>229</v>
      </c>
      <c r="K13" s="42">
        <v>46234.0</v>
      </c>
      <c r="L13" s="38" t="s">
        <v>113</v>
      </c>
    </row>
    <row r="14" ht="22.5" customHeight="1">
      <c r="B14" s="35">
        <v>7.0</v>
      </c>
      <c r="C14" s="35" t="s">
        <v>234</v>
      </c>
      <c r="D14" s="37" t="s">
        <v>205</v>
      </c>
      <c r="E14" s="37" t="s">
        <v>123</v>
      </c>
      <c r="F14" s="37" t="s">
        <v>125</v>
      </c>
      <c r="G14" s="37" t="s">
        <v>212</v>
      </c>
      <c r="H14" s="37" t="s">
        <v>219</v>
      </c>
      <c r="I14" s="38" t="s">
        <v>109</v>
      </c>
      <c r="J14" s="38" t="s">
        <v>229</v>
      </c>
      <c r="K14" s="42">
        <v>46234.0</v>
      </c>
      <c r="L14" s="38" t="s">
        <v>113</v>
      </c>
    </row>
    <row r="15" ht="22.5" customHeight="1">
      <c r="B15" s="35">
        <v>8.0</v>
      </c>
      <c r="C15" s="35" t="s">
        <v>238</v>
      </c>
      <c r="D15" s="37" t="s">
        <v>205</v>
      </c>
      <c r="E15" s="37" t="s">
        <v>123</v>
      </c>
      <c r="F15" s="37" t="s">
        <v>125</v>
      </c>
      <c r="G15" s="37" t="s">
        <v>212</v>
      </c>
      <c r="H15" s="37" t="s">
        <v>219</v>
      </c>
      <c r="I15" s="38" t="s">
        <v>109</v>
      </c>
      <c r="J15" s="38" t="s">
        <v>229</v>
      </c>
      <c r="K15" s="42">
        <v>46234.0</v>
      </c>
      <c r="L15" s="38" t="s">
        <v>113</v>
      </c>
    </row>
    <row r="16" ht="22.5" customHeight="1">
      <c r="B16" s="35">
        <v>9.0</v>
      </c>
      <c r="C16" s="35" t="s">
        <v>241</v>
      </c>
      <c r="D16" s="37" t="s">
        <v>205</v>
      </c>
      <c r="E16" s="37" t="s">
        <v>123</v>
      </c>
      <c r="F16" s="37" t="s">
        <v>125</v>
      </c>
      <c r="G16" s="37" t="s">
        <v>212</v>
      </c>
      <c r="H16" s="37" t="s">
        <v>219</v>
      </c>
      <c r="I16" s="38" t="s">
        <v>109</v>
      </c>
      <c r="J16" s="38" t="s">
        <v>245</v>
      </c>
      <c r="K16" s="42">
        <v>46234.0</v>
      </c>
      <c r="L16" s="38" t="s">
        <v>113</v>
      </c>
    </row>
    <row r="17" ht="22.5" customHeight="1">
      <c r="B17" s="35">
        <v>10.0</v>
      </c>
      <c r="C17" s="35" t="s">
        <v>246</v>
      </c>
      <c r="D17" s="37" t="s">
        <v>205</v>
      </c>
      <c r="E17" s="37" t="s">
        <v>123</v>
      </c>
      <c r="F17" s="37" t="s">
        <v>125</v>
      </c>
      <c r="G17" s="37" t="s">
        <v>212</v>
      </c>
      <c r="H17" s="37" t="s">
        <v>219</v>
      </c>
      <c r="I17" s="38" t="s">
        <v>109</v>
      </c>
      <c r="J17" s="38" t="s">
        <v>249</v>
      </c>
      <c r="K17" s="42">
        <v>46234.0</v>
      </c>
      <c r="L17" s="38" t="s">
        <v>113</v>
      </c>
    </row>
    <row r="18" ht="22.5" customHeight="1">
      <c r="B18" s="35">
        <v>11.0</v>
      </c>
      <c r="C18" s="35" t="s">
        <v>250</v>
      </c>
      <c r="D18" s="37" t="s">
        <v>205</v>
      </c>
      <c r="E18" s="37" t="s">
        <v>123</v>
      </c>
      <c r="F18" s="37" t="s">
        <v>125</v>
      </c>
      <c r="G18" s="37" t="s">
        <v>212</v>
      </c>
      <c r="H18" s="37" t="s">
        <v>253</v>
      </c>
      <c r="I18" s="38" t="s">
        <v>109</v>
      </c>
      <c r="J18" s="38" t="s">
        <v>245</v>
      </c>
      <c r="K18" s="42">
        <v>46234.0</v>
      </c>
      <c r="L18" s="38" t="s">
        <v>113</v>
      </c>
    </row>
    <row r="19" ht="22.5" customHeight="1">
      <c r="B19" s="35">
        <v>12.0</v>
      </c>
      <c r="C19" s="35" t="s">
        <v>254</v>
      </c>
      <c r="D19" s="37" t="s">
        <v>205</v>
      </c>
      <c r="E19" s="37" t="s">
        <v>123</v>
      </c>
      <c r="F19" s="37" t="s">
        <v>125</v>
      </c>
      <c r="G19" s="37" t="s">
        <v>212</v>
      </c>
      <c r="H19" s="37" t="s">
        <v>253</v>
      </c>
      <c r="I19" s="38" t="s">
        <v>109</v>
      </c>
      <c r="J19" s="38" t="s">
        <v>186</v>
      </c>
      <c r="K19" s="42">
        <v>46234.0</v>
      </c>
      <c r="L19" s="38" t="s">
        <v>113</v>
      </c>
    </row>
    <row r="20" ht="22.5" customHeight="1">
      <c r="B20" s="35">
        <v>13.0</v>
      </c>
      <c r="C20" s="35" t="s">
        <v>256</v>
      </c>
      <c r="D20" s="37" t="s">
        <v>205</v>
      </c>
      <c r="E20" s="37" t="s">
        <v>123</v>
      </c>
      <c r="F20" s="37" t="s">
        <v>125</v>
      </c>
      <c r="G20" s="37" t="s">
        <v>212</v>
      </c>
      <c r="H20" s="37" t="s">
        <v>253</v>
      </c>
      <c r="I20" s="38" t="s">
        <v>109</v>
      </c>
      <c r="J20" s="38" t="s">
        <v>186</v>
      </c>
      <c r="K20" s="42">
        <v>46234.0</v>
      </c>
      <c r="L20" s="38" t="s">
        <v>113</v>
      </c>
    </row>
    <row r="21" ht="22.5" customHeight="1">
      <c r="B21" s="35">
        <v>14.0</v>
      </c>
      <c r="C21" s="35" t="s">
        <v>258</v>
      </c>
      <c r="D21" s="37" t="s">
        <v>205</v>
      </c>
      <c r="E21" s="37" t="s">
        <v>123</v>
      </c>
      <c r="F21" s="37" t="s">
        <v>125</v>
      </c>
      <c r="G21" s="37" t="s">
        <v>212</v>
      </c>
      <c r="H21" s="37" t="s">
        <v>253</v>
      </c>
      <c r="I21" s="38" t="s">
        <v>109</v>
      </c>
      <c r="J21" s="38" t="s">
        <v>186</v>
      </c>
      <c r="K21" s="42">
        <v>46234.0</v>
      </c>
      <c r="L21" s="38" t="s">
        <v>113</v>
      </c>
    </row>
    <row r="22" ht="15.75" customHeight="1">
      <c r="B22" s="35">
        <v>15.0</v>
      </c>
      <c r="C22" s="35" t="s">
        <v>261</v>
      </c>
      <c r="D22" s="37" t="s">
        <v>262</v>
      </c>
      <c r="E22" s="37" t="s">
        <v>123</v>
      </c>
      <c r="F22" s="37" t="s">
        <v>263</v>
      </c>
      <c r="G22" s="37" t="s">
        <v>212</v>
      </c>
      <c r="H22" s="37" t="s">
        <v>253</v>
      </c>
      <c r="I22" s="38" t="s">
        <v>109</v>
      </c>
      <c r="J22" s="38" t="s">
        <v>186</v>
      </c>
      <c r="K22" s="42">
        <v>46234.0</v>
      </c>
      <c r="L22" s="38" t="s">
        <v>113</v>
      </c>
    </row>
    <row r="23" ht="15.75" customHeight="1">
      <c r="B23" s="35">
        <v>16.0</v>
      </c>
      <c r="C23" s="35" t="s">
        <v>265</v>
      </c>
      <c r="D23" s="37" t="s">
        <v>103</v>
      </c>
      <c r="E23" s="37" t="s">
        <v>123</v>
      </c>
      <c r="F23" s="37" t="s">
        <v>125</v>
      </c>
      <c r="G23" s="37" t="s">
        <v>212</v>
      </c>
      <c r="H23" s="37" t="s">
        <v>253</v>
      </c>
      <c r="I23" s="38" t="s">
        <v>109</v>
      </c>
      <c r="J23" s="38" t="s">
        <v>186</v>
      </c>
      <c r="K23" s="42">
        <v>46234.0</v>
      </c>
      <c r="L23" s="38" t="s">
        <v>113</v>
      </c>
    </row>
    <row r="24" ht="15.75" customHeight="1">
      <c r="B24" s="35">
        <v>17.0</v>
      </c>
      <c r="C24" s="35" t="s">
        <v>267</v>
      </c>
      <c r="D24" s="37" t="s">
        <v>103</v>
      </c>
      <c r="E24" s="37" t="s">
        <v>123</v>
      </c>
      <c r="F24" s="37" t="s">
        <v>125</v>
      </c>
      <c r="G24" s="37" t="s">
        <v>212</v>
      </c>
      <c r="H24" s="37" t="s">
        <v>268</v>
      </c>
      <c r="I24" s="38" t="s">
        <v>109</v>
      </c>
      <c r="J24" s="38" t="s">
        <v>186</v>
      </c>
      <c r="K24" s="42">
        <v>46234.0</v>
      </c>
      <c r="L24" s="38" t="s">
        <v>270</v>
      </c>
    </row>
    <row r="25" ht="15.75" customHeight="1">
      <c r="B25" s="35">
        <v>18.0</v>
      </c>
      <c r="C25" s="35" t="s">
        <v>271</v>
      </c>
      <c r="D25" s="37" t="s">
        <v>103</v>
      </c>
      <c r="E25" s="37" t="s">
        <v>123</v>
      </c>
      <c r="F25" s="37" t="s">
        <v>125</v>
      </c>
      <c r="G25" s="37" t="s">
        <v>212</v>
      </c>
      <c r="H25" s="37" t="s">
        <v>268</v>
      </c>
      <c r="I25" s="38" t="s">
        <v>109</v>
      </c>
      <c r="J25" s="38" t="s">
        <v>274</v>
      </c>
      <c r="K25" s="42">
        <v>46234.0</v>
      </c>
      <c r="L25" s="38" t="s">
        <v>276</v>
      </c>
    </row>
    <row r="26" ht="15.75" customHeight="1">
      <c r="B26" s="35">
        <v>19.0</v>
      </c>
      <c r="C26" s="35" t="s">
        <v>277</v>
      </c>
      <c r="D26" s="37" t="s">
        <v>205</v>
      </c>
      <c r="E26" s="37" t="s">
        <v>123</v>
      </c>
      <c r="F26" s="37" t="s">
        <v>125</v>
      </c>
      <c r="G26" s="37" t="s">
        <v>212</v>
      </c>
      <c r="H26" s="37" t="s">
        <v>268</v>
      </c>
      <c r="I26" s="38" t="s">
        <v>109</v>
      </c>
      <c r="J26" s="38" t="s">
        <v>186</v>
      </c>
      <c r="K26" s="42">
        <v>46234.0</v>
      </c>
      <c r="L26" s="38" t="s">
        <v>113</v>
      </c>
    </row>
    <row r="27" ht="15.75" customHeight="1">
      <c r="B27" s="35">
        <v>20.0</v>
      </c>
      <c r="C27" s="35" t="s">
        <v>280</v>
      </c>
      <c r="D27" s="37" t="s">
        <v>205</v>
      </c>
      <c r="E27" s="37" t="s">
        <v>123</v>
      </c>
      <c r="F27" s="37" t="s">
        <v>125</v>
      </c>
      <c r="G27" s="37" t="s">
        <v>212</v>
      </c>
      <c r="H27" s="37" t="s">
        <v>268</v>
      </c>
      <c r="I27" s="38" t="s">
        <v>109</v>
      </c>
      <c r="J27" s="38" t="s">
        <v>186</v>
      </c>
      <c r="K27" s="42">
        <v>46234.0</v>
      </c>
      <c r="L27" s="38" t="s">
        <v>285</v>
      </c>
    </row>
    <row r="28" ht="15.75" customHeight="1">
      <c r="B28" s="35">
        <v>21.0</v>
      </c>
      <c r="C28" s="35" t="s">
        <v>287</v>
      </c>
      <c r="D28" s="37" t="s">
        <v>205</v>
      </c>
      <c r="E28" s="37" t="s">
        <v>288</v>
      </c>
      <c r="F28" s="37" t="s">
        <v>125</v>
      </c>
      <c r="G28" s="37" t="s">
        <v>212</v>
      </c>
      <c r="H28" s="37" t="s">
        <v>268</v>
      </c>
      <c r="I28" s="38" t="s">
        <v>109</v>
      </c>
      <c r="J28" s="38" t="s">
        <v>186</v>
      </c>
      <c r="K28" s="42">
        <v>46234.0</v>
      </c>
      <c r="L28" s="38" t="s">
        <v>276</v>
      </c>
    </row>
    <row r="29" ht="15.75" customHeight="1">
      <c r="B29" s="35">
        <v>22.0</v>
      </c>
      <c r="C29" s="35" t="s">
        <v>291</v>
      </c>
      <c r="D29" s="37" t="s">
        <v>205</v>
      </c>
      <c r="E29" s="37" t="s">
        <v>123</v>
      </c>
      <c r="F29" s="37" t="s">
        <v>125</v>
      </c>
      <c r="G29" s="37" t="s">
        <v>212</v>
      </c>
      <c r="H29" s="37" t="s">
        <v>268</v>
      </c>
      <c r="I29" s="38" t="s">
        <v>109</v>
      </c>
      <c r="J29" s="38" t="s">
        <v>249</v>
      </c>
      <c r="K29" s="42">
        <v>46234.0</v>
      </c>
      <c r="L29" s="38" t="s">
        <v>113</v>
      </c>
    </row>
    <row r="30" ht="15.75" customHeight="1">
      <c r="B30" s="35">
        <v>23.0</v>
      </c>
      <c r="C30" s="35" t="s">
        <v>293</v>
      </c>
      <c r="D30" s="37" t="s">
        <v>205</v>
      </c>
      <c r="E30" s="37" t="s">
        <v>288</v>
      </c>
      <c r="F30" s="37" t="s">
        <v>125</v>
      </c>
      <c r="G30" s="37" t="s">
        <v>212</v>
      </c>
      <c r="H30" s="37" t="s">
        <v>268</v>
      </c>
      <c r="I30" s="38" t="s">
        <v>294</v>
      </c>
      <c r="J30" s="38" t="s">
        <v>186</v>
      </c>
      <c r="K30" s="42">
        <v>46234.0</v>
      </c>
      <c r="L30" s="38" t="s">
        <v>296</v>
      </c>
    </row>
    <row r="31" ht="15.75" customHeight="1">
      <c r="B31" s="35">
        <v>24.0</v>
      </c>
      <c r="C31" s="35" t="s">
        <v>297</v>
      </c>
      <c r="D31" s="37" t="s">
        <v>205</v>
      </c>
      <c r="E31" s="37" t="s">
        <v>123</v>
      </c>
      <c r="F31" s="37" t="s">
        <v>125</v>
      </c>
      <c r="G31" s="37" t="s">
        <v>212</v>
      </c>
      <c r="H31" s="37" t="s">
        <v>268</v>
      </c>
      <c r="I31" s="38" t="s">
        <v>109</v>
      </c>
      <c r="J31" s="38" t="s">
        <v>186</v>
      </c>
      <c r="K31" s="42">
        <v>46234.0</v>
      </c>
      <c r="L31" s="38" t="s">
        <v>270</v>
      </c>
    </row>
    <row r="32" ht="15.75" customHeight="1">
      <c r="B32" s="35">
        <v>25.0</v>
      </c>
      <c r="C32" s="35" t="s">
        <v>301</v>
      </c>
      <c r="D32" s="37" t="s">
        <v>103</v>
      </c>
      <c r="E32" s="37" t="s">
        <v>123</v>
      </c>
      <c r="F32" s="37" t="s">
        <v>302</v>
      </c>
      <c r="G32" s="37" t="s">
        <v>303</v>
      </c>
      <c r="H32" s="37" t="s">
        <v>304</v>
      </c>
      <c r="I32" s="38" t="s">
        <v>305</v>
      </c>
      <c r="J32" s="38" t="s">
        <v>306</v>
      </c>
      <c r="K32" s="42">
        <v>46234.0</v>
      </c>
      <c r="L32" s="38" t="s">
        <v>276</v>
      </c>
    </row>
    <row r="33" ht="15.75" customHeight="1">
      <c r="B33" s="35">
        <v>26.0</v>
      </c>
      <c r="C33" s="35" t="s">
        <v>307</v>
      </c>
      <c r="D33" s="37" t="s">
        <v>103</v>
      </c>
      <c r="E33" s="37" t="s">
        <v>123</v>
      </c>
      <c r="F33" s="37" t="s">
        <v>308</v>
      </c>
      <c r="G33" s="37" t="s">
        <v>212</v>
      </c>
      <c r="H33" s="37" t="s">
        <v>268</v>
      </c>
      <c r="I33" s="38" t="s">
        <v>109</v>
      </c>
      <c r="J33" s="38" t="s">
        <v>111</v>
      </c>
      <c r="K33" s="42">
        <v>46234.0</v>
      </c>
      <c r="L33" s="38" t="s">
        <v>276</v>
      </c>
    </row>
    <row r="34" ht="15.75" customHeight="1">
      <c r="B34" s="35">
        <v>27.0</v>
      </c>
      <c r="C34" s="35" t="s">
        <v>309</v>
      </c>
      <c r="D34" s="37" t="s">
        <v>205</v>
      </c>
      <c r="E34" s="37" t="s">
        <v>123</v>
      </c>
      <c r="F34" s="37" t="s">
        <v>125</v>
      </c>
      <c r="G34" s="37" t="s">
        <v>212</v>
      </c>
      <c r="H34" s="37" t="s">
        <v>268</v>
      </c>
      <c r="I34" s="38" t="s">
        <v>109</v>
      </c>
      <c r="J34" s="38" t="s">
        <v>186</v>
      </c>
      <c r="K34" s="42">
        <v>46234.0</v>
      </c>
      <c r="L34" s="38" t="s">
        <v>276</v>
      </c>
    </row>
    <row r="35" ht="15.75" customHeight="1">
      <c r="B35" s="35">
        <v>28.0</v>
      </c>
      <c r="C35" s="35" t="s">
        <v>310</v>
      </c>
      <c r="D35" s="37" t="s">
        <v>103</v>
      </c>
      <c r="E35" s="37" t="s">
        <v>123</v>
      </c>
      <c r="F35" s="37" t="s">
        <v>125</v>
      </c>
      <c r="G35" s="37" t="s">
        <v>212</v>
      </c>
      <c r="H35" s="37" t="s">
        <v>268</v>
      </c>
      <c r="I35" s="38" t="s">
        <v>109</v>
      </c>
      <c r="J35" s="38" t="s">
        <v>186</v>
      </c>
      <c r="K35" s="42">
        <v>46234.0</v>
      </c>
      <c r="L35" s="38" t="s">
        <v>276</v>
      </c>
    </row>
    <row r="36" ht="15.75" customHeight="1">
      <c r="B36" s="35">
        <v>29.0</v>
      </c>
      <c r="C36" s="35" t="s">
        <v>311</v>
      </c>
      <c r="D36" s="37" t="s">
        <v>205</v>
      </c>
      <c r="E36" s="37" t="s">
        <v>104</v>
      </c>
      <c r="F36" s="37" t="s">
        <v>125</v>
      </c>
      <c r="G36" s="37" t="s">
        <v>312</v>
      </c>
      <c r="H36" s="37" t="s">
        <v>253</v>
      </c>
      <c r="I36" s="38" t="s">
        <v>109</v>
      </c>
      <c r="J36" s="38" t="s">
        <v>313</v>
      </c>
      <c r="K36" s="42">
        <v>46234.0</v>
      </c>
      <c r="L36" s="38" t="s">
        <v>314</v>
      </c>
    </row>
    <row r="37" ht="15.75" customHeight="1">
      <c r="B37" s="35">
        <v>30.0</v>
      </c>
      <c r="C37" s="35" t="s">
        <v>315</v>
      </c>
      <c r="D37" s="37" t="s">
        <v>103</v>
      </c>
      <c r="E37" s="37" t="s">
        <v>316</v>
      </c>
      <c r="F37" s="37"/>
      <c r="G37" s="37" t="s">
        <v>317</v>
      </c>
      <c r="H37" s="37" t="s">
        <v>253</v>
      </c>
      <c r="I37" s="38" t="s">
        <v>305</v>
      </c>
      <c r="J37" s="38" t="s">
        <v>306</v>
      </c>
      <c r="K37" s="42">
        <v>46234.0</v>
      </c>
      <c r="L37" s="38" t="s">
        <v>318</v>
      </c>
    </row>
    <row r="38" ht="15.75" customHeight="1">
      <c r="B38" s="35">
        <v>31.0</v>
      </c>
      <c r="C38" s="35"/>
      <c r="D38" s="37"/>
      <c r="E38" s="37"/>
      <c r="F38" s="37"/>
      <c r="G38" s="37"/>
      <c r="H38" s="37"/>
      <c r="I38" s="38"/>
      <c r="J38" s="38"/>
      <c r="K38" s="42"/>
      <c r="L38" s="38"/>
    </row>
    <row r="39" ht="15.75" customHeight="1">
      <c r="B39" s="35">
        <v>32.0</v>
      </c>
      <c r="C39" s="35"/>
      <c r="D39" s="56"/>
      <c r="E39" s="37"/>
      <c r="F39" s="37"/>
      <c r="G39" s="57"/>
      <c r="H39" s="57"/>
      <c r="I39" s="38"/>
      <c r="J39" s="38"/>
      <c r="K39" s="42"/>
      <c r="L39" s="3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B2:K2"/>
    <mergeCell ref="B3:K3"/>
  </mergeCells>
  <dataValidations>
    <dataValidation type="custom" allowBlank="1" showDropDown="1" sqref="K8:K39">
      <formula1>OR(NOT(ISERROR(DATEVALUE(K8))), AND(ISNUMBER(K8), LEFT(CELL("format", K8))="D"))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2025-08-20T07:25:34Z</dcterms:created>
  <dc:creator>Muma</dc:creator>
</cp:coreProperties>
</file>